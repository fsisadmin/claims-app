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defaultThemeVersion="124226"/>
  <mc:AlternateContent xmlns:mc="http://schemas.openxmlformats.org/markup-compatibility/2006">
    <mc:Choice Requires="x15">
      <x15ac:absPath xmlns:x15ac="http://schemas.microsoft.com/office/spreadsheetml/2010/11/ac" url="O:\Harrell\Accounts\0 Most Recent Templates 0\Loss Summary Analysis Templates\Loss Summary\Property\"/>
    </mc:Choice>
  </mc:AlternateContent>
  <xr:revisionPtr revIDLastSave="0" documentId="13_ncr:1_{32077803-59DF-4BAA-B22D-3362CD340CC1}" xr6:coauthVersionLast="47" xr6:coauthVersionMax="47" xr10:uidLastSave="{00000000-0000-0000-0000-000000000000}"/>
  <bookViews>
    <workbookView xWindow="-120" yWindow="-120" windowWidth="38640" windowHeight="21120" tabRatio="625" activeTab="2" xr2:uid="{00000000-000D-0000-FFFF-FFFF00000000}"/>
  </bookViews>
  <sheets>
    <sheet name="Loss Run Summary" sheetId="13" r:id="rId1"/>
    <sheet name="Claim Details" sheetId="1" r:id="rId2"/>
    <sheet name="Loss Summary Analysis" sheetId="4" r:id="rId3"/>
    <sheet name="Loss Summary Analysis w. Agg" sheetId="16" r:id="rId4"/>
    <sheet name="Plus Agg Analysis" sheetId="14" r:id="rId5"/>
    <sheet name="Drop downs" sheetId="5" r:id="rId6"/>
  </sheets>
  <definedNames>
    <definedName name="_xlnm._FilterDatabase" localSheetId="1" hidden="1">'Claim Details'!$E$16:$R$17</definedName>
    <definedName name="_xlcn.WorksheetConnection_Vestcor1819GLLossSummaryongoing08.08.18.xlsmTable1" hidden="1">Table1[]</definedName>
    <definedName name="Claim_Total" localSheetId="3">Table1[Claim Total]</definedName>
    <definedName name="Claim_Total">Table1[Claim Total]</definedName>
    <definedName name="CurrentDeductible" localSheetId="3">Table1[Paid Deductible (Current)]</definedName>
    <definedName name="CurrentDeductible">Table1[Paid Deductible (Current)]</definedName>
    <definedName name="Fire">'Drop downs'!$E$3:$E$11</definedName>
    <definedName name="HigherDeductible" localSheetId="3">Table1[Paid Deductible (Other)]</definedName>
    <definedName name="HigherDeductible">Table1[Paid Deductible (Other)]</definedName>
    <definedName name="LossClassification">'Drop downs'!$D$2:$D$6</definedName>
    <definedName name="LowerDeductible" localSheetId="3">Table1[Paid Deductible (Current)]</definedName>
    <definedName name="LowerDeductible">Table1[Paid Deductible (Current)]</definedName>
    <definedName name="Negligent_Maintenance">'Drop downs'!$F$4:$F$11</definedName>
    <definedName name="OtherDeductible" localSheetId="3">Table1[Paid Deductible (Other)]</definedName>
    <definedName name="OtherDeductible">Table1[Paid Deductible (Other)]</definedName>
    <definedName name="OwnershipStatus" localSheetId="3">Table1[Ownership Status]</definedName>
    <definedName name="OwnershipStatus">Table1[Ownership Status]</definedName>
    <definedName name="PaidClaim" localSheetId="3">Table1[Paid Total]</definedName>
    <definedName name="PaidClaim">Table1[Paid Total]</definedName>
    <definedName name="PolicyYears" localSheetId="3">Table1[Policy Period]</definedName>
    <definedName name="PolicyYears">Table1[Policy Period]</definedName>
    <definedName name="_xlnm.Print_Area" localSheetId="1">'Claim Details'!$A$15:$R$122</definedName>
    <definedName name="_xlnm.Print_Area" localSheetId="2">'Loss Summary Analysis'!$A$1:$I$41</definedName>
    <definedName name="_xlnm.Print_Area" localSheetId="3">'Loss Summary Analysis w. Agg'!$A$1:$I$40</definedName>
    <definedName name="_xlnm.Print_Titles" localSheetId="1">'Claim Details'!$16:$16</definedName>
    <definedName name="Reserve" localSheetId="3">Table1[Reserve Total]</definedName>
    <definedName name="Reserve">Table1[Reserve Total]</definedName>
    <definedName name="Shooting">'Drop downs'!$E$3:$E$11</definedName>
    <definedName name="Slicer_Policy_Period">#N/A</definedName>
    <definedName name="Slicer_Status">#N/A</definedName>
    <definedName name="Slip_Fall">'Drop downs'!#REF!</definedName>
    <definedName name="Status" localSheetId="3">Table1[[Status ]]</definedName>
    <definedName name="Status">Table1[[Status ]]</definedName>
    <definedName name="WaterDamage">'Drop downs'!#REF!</definedName>
    <definedName name="Windstorm">'Drop downs'!$F$4:$F$11</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5:slicerCaches>
    </ext>
    <ext xmlns:x15="http://schemas.microsoft.com/office/spreadsheetml/2010/11/main" uri="{FCE2AD5D-F65C-4FA6-A056-5C36A1767C68}">
      <x15:dataModel>
        <x15:modelTables>
          <x15:modelTable id="Table1" name="Table1" connection="WorksheetConnection_Vestcor 18-19 GL Loss Summary (ongoing) 08.08.18.xlsm!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1" i="4" l="1" a="1"/>
  <c r="D31" i="4" s="1"/>
  <c r="C26" i="4"/>
  <c r="D26" i="4"/>
  <c r="E26" i="4"/>
  <c r="F26" i="4"/>
  <c r="G26" i="4"/>
  <c r="H26" i="4"/>
  <c r="C27" i="4"/>
  <c r="D27" i="4"/>
  <c r="E27" i="4"/>
  <c r="F27" i="4"/>
  <c r="G27" i="4"/>
  <c r="H27" i="4"/>
  <c r="C28" i="4"/>
  <c r="D28" i="4"/>
  <c r="E28" i="4"/>
  <c r="F28" i="4"/>
  <c r="G28" i="4"/>
  <c r="H28" i="4"/>
  <c r="C29" i="4"/>
  <c r="D29" i="4"/>
  <c r="E29" i="4"/>
  <c r="F29" i="4"/>
  <c r="G29" i="4"/>
  <c r="H29" i="4"/>
  <c r="C30" i="4"/>
  <c r="D30" i="4"/>
  <c r="E30" i="4"/>
  <c r="F30" i="4"/>
  <c r="G30" i="4"/>
  <c r="H30" i="4"/>
  <c r="C31" i="4"/>
  <c r="E31" i="4"/>
  <c r="F31" i="4"/>
  <c r="G31" i="4"/>
  <c r="H31" i="4"/>
  <c r="C13" i="4"/>
  <c r="D13" i="4"/>
  <c r="E13" i="4"/>
  <c r="F13" i="4"/>
  <c r="G13" i="4"/>
  <c r="H13" i="4"/>
  <c r="C14" i="4"/>
  <c r="D14" i="4"/>
  <c r="E14" i="4"/>
  <c r="F14" i="4"/>
  <c r="G14" i="4"/>
  <c r="H14" i="4"/>
  <c r="C15" i="4"/>
  <c r="D15" i="4"/>
  <c r="E15" i="4"/>
  <c r="F15" i="4"/>
  <c r="G15" i="4"/>
  <c r="H15" i="4"/>
  <c r="C16" i="4"/>
  <c r="D16" i="4"/>
  <c r="E16" i="4"/>
  <c r="F16" i="4"/>
  <c r="G16" i="4"/>
  <c r="H16" i="4"/>
  <c r="C17" i="4"/>
  <c r="D17" i="4"/>
  <c r="E17" i="4"/>
  <c r="F17" i="4"/>
  <c r="G17" i="4"/>
  <c r="H17" i="4"/>
  <c r="M100" i="5"/>
  <c r="M57" i="5"/>
  <c r="M55" i="5"/>
  <c r="M53" i="5"/>
  <c r="M52" i="5"/>
  <c r="M51" i="5"/>
  <c r="M50" i="5"/>
  <c r="M11" i="5"/>
  <c r="M10" i="5"/>
  <c r="M9" i="5"/>
  <c r="M8" i="5"/>
  <c r="M8" i="14"/>
  <c r="D8" i="14"/>
  <c r="C8" i="14"/>
  <c r="B8" i="14"/>
  <c r="J7" i="14"/>
  <c r="F8" i="14" l="1"/>
  <c r="O8" i="14" s="1"/>
  <c r="E8" i="14"/>
  <c r="H8" i="14" s="1"/>
  <c r="I8" i="14" s="1"/>
  <c r="J8" i="14" s="1"/>
  <c r="N8" i="14" s="1"/>
  <c r="K8" i="14" s="1"/>
  <c r="M99" i="14" l="1"/>
  <c r="D99" i="14"/>
  <c r="C99" i="14"/>
  <c r="B99" i="14"/>
  <c r="A99" i="14"/>
  <c r="M98" i="14"/>
  <c r="D98" i="14"/>
  <c r="C98" i="14"/>
  <c r="B98" i="14"/>
  <c r="A98" i="14"/>
  <c r="M97" i="14"/>
  <c r="D97" i="14"/>
  <c r="C97" i="14"/>
  <c r="B97" i="14"/>
  <c r="A97" i="14"/>
  <c r="M96" i="14"/>
  <c r="D96" i="14"/>
  <c r="C96" i="14"/>
  <c r="B96" i="14"/>
  <c r="A96" i="14"/>
  <c r="M95" i="14"/>
  <c r="D95" i="14"/>
  <c r="C95" i="14"/>
  <c r="B95" i="14"/>
  <c r="A95" i="14"/>
  <c r="M94" i="14"/>
  <c r="D94" i="14"/>
  <c r="C94" i="14"/>
  <c r="B94" i="14"/>
  <c r="A94" i="14"/>
  <c r="M93" i="14"/>
  <c r="D93" i="14"/>
  <c r="C93" i="14"/>
  <c r="B93" i="14"/>
  <c r="A93" i="14"/>
  <c r="M92" i="14"/>
  <c r="D92" i="14"/>
  <c r="C92" i="14"/>
  <c r="B92" i="14"/>
  <c r="A92" i="14"/>
  <c r="M91" i="14"/>
  <c r="D91" i="14"/>
  <c r="C91" i="14"/>
  <c r="B91" i="14"/>
  <c r="A91" i="14"/>
  <c r="M90" i="14"/>
  <c r="D90" i="14"/>
  <c r="C90" i="14"/>
  <c r="B90" i="14"/>
  <c r="A90" i="14"/>
  <c r="M89" i="14"/>
  <c r="D89" i="14"/>
  <c r="C89" i="14"/>
  <c r="B89" i="14"/>
  <c r="A89" i="14"/>
  <c r="M88" i="14"/>
  <c r="D88" i="14"/>
  <c r="C88" i="14"/>
  <c r="B88" i="14"/>
  <c r="A88" i="14"/>
  <c r="M87" i="14"/>
  <c r="D87" i="14"/>
  <c r="C87" i="14"/>
  <c r="B87" i="14"/>
  <c r="A87" i="14"/>
  <c r="M86" i="14"/>
  <c r="D86" i="14"/>
  <c r="C86" i="14"/>
  <c r="B86" i="14"/>
  <c r="A86" i="14"/>
  <c r="M85" i="14"/>
  <c r="D85" i="14"/>
  <c r="C85" i="14"/>
  <c r="B85" i="14"/>
  <c r="A85" i="14"/>
  <c r="M84" i="14"/>
  <c r="D84" i="14"/>
  <c r="C84" i="14"/>
  <c r="B84" i="14"/>
  <c r="A84" i="14"/>
  <c r="M83" i="14"/>
  <c r="D83" i="14"/>
  <c r="C83" i="14"/>
  <c r="B83" i="14"/>
  <c r="A83" i="14"/>
  <c r="M82" i="14"/>
  <c r="D82" i="14"/>
  <c r="C82" i="14"/>
  <c r="B82" i="14"/>
  <c r="A82" i="14"/>
  <c r="M81" i="14"/>
  <c r="D81" i="14"/>
  <c r="C81" i="14"/>
  <c r="B81" i="14"/>
  <c r="A81" i="14"/>
  <c r="M80" i="14"/>
  <c r="D80" i="14"/>
  <c r="C80" i="14"/>
  <c r="B80" i="14"/>
  <c r="A80" i="14"/>
  <c r="M79" i="14"/>
  <c r="D79" i="14"/>
  <c r="C79" i="14"/>
  <c r="B79" i="14"/>
  <c r="A79" i="14"/>
  <c r="M78" i="14"/>
  <c r="D78" i="14"/>
  <c r="C78" i="14"/>
  <c r="B78" i="14"/>
  <c r="A78" i="14"/>
  <c r="M77" i="14"/>
  <c r="D77" i="14"/>
  <c r="C77" i="14"/>
  <c r="B77" i="14"/>
  <c r="A77" i="14"/>
  <c r="M76" i="14"/>
  <c r="D76" i="14"/>
  <c r="C76" i="14"/>
  <c r="B76" i="14"/>
  <c r="A76" i="14"/>
  <c r="M75" i="14"/>
  <c r="D75" i="14"/>
  <c r="C75" i="14"/>
  <c r="B75" i="14"/>
  <c r="A75" i="14"/>
  <c r="M74" i="14"/>
  <c r="D74" i="14"/>
  <c r="C74" i="14"/>
  <c r="B74" i="14"/>
  <c r="A74" i="14"/>
  <c r="M73" i="14"/>
  <c r="D73" i="14"/>
  <c r="C73" i="14"/>
  <c r="B73" i="14"/>
  <c r="A73" i="14"/>
  <c r="M72" i="14"/>
  <c r="D72" i="14"/>
  <c r="C72" i="14"/>
  <c r="B72" i="14"/>
  <c r="A72" i="14"/>
  <c r="M71" i="14"/>
  <c r="D71" i="14"/>
  <c r="C71" i="14"/>
  <c r="B71" i="14"/>
  <c r="A71" i="14"/>
  <c r="M70" i="14"/>
  <c r="D70" i="14"/>
  <c r="C70" i="14"/>
  <c r="B70" i="14"/>
  <c r="A70" i="14"/>
  <c r="M69" i="14"/>
  <c r="D69" i="14"/>
  <c r="C69" i="14"/>
  <c r="B69" i="14"/>
  <c r="A69" i="14"/>
  <c r="M68" i="14"/>
  <c r="D68" i="14"/>
  <c r="C68" i="14"/>
  <c r="B68" i="14"/>
  <c r="A68" i="14"/>
  <c r="M67" i="14"/>
  <c r="D67" i="14"/>
  <c r="C67" i="14"/>
  <c r="B67" i="14"/>
  <c r="A67" i="14"/>
  <c r="M66" i="14"/>
  <c r="D66" i="14"/>
  <c r="C66" i="14"/>
  <c r="B66" i="14"/>
  <c r="A66" i="14"/>
  <c r="M65" i="14"/>
  <c r="D65" i="14"/>
  <c r="C65" i="14"/>
  <c r="B65" i="14"/>
  <c r="A65" i="14"/>
  <c r="M64" i="14"/>
  <c r="D64" i="14"/>
  <c r="C64" i="14"/>
  <c r="B64" i="14"/>
  <c r="A64" i="14"/>
  <c r="M63" i="14"/>
  <c r="D63" i="14"/>
  <c r="C63" i="14"/>
  <c r="B63" i="14"/>
  <c r="A63" i="14"/>
  <c r="M62" i="14"/>
  <c r="D62" i="14"/>
  <c r="C62" i="14"/>
  <c r="B62" i="14"/>
  <c r="A62" i="14"/>
  <c r="M61" i="14"/>
  <c r="D61" i="14"/>
  <c r="C61" i="14"/>
  <c r="B61" i="14"/>
  <c r="A61" i="14"/>
  <c r="M60" i="14"/>
  <c r="D60" i="14"/>
  <c r="C60" i="14"/>
  <c r="B60" i="14"/>
  <c r="A60" i="14"/>
  <c r="M59" i="14"/>
  <c r="D59" i="14"/>
  <c r="C59" i="14"/>
  <c r="B59" i="14"/>
  <c r="A59" i="14"/>
  <c r="B19" i="16"/>
  <c r="B19" i="4"/>
  <c r="B20" i="16"/>
  <c r="B33" i="16"/>
  <c r="B32" i="16"/>
  <c r="A1" i="16"/>
  <c r="B33" i="4"/>
  <c r="B20" i="4"/>
  <c r="I60" i="14" l="1"/>
  <c r="M60" i="5"/>
  <c r="I68" i="14"/>
  <c r="M68" i="5"/>
  <c r="I76" i="14"/>
  <c r="M76" i="5"/>
  <c r="I84" i="14"/>
  <c r="M84" i="5"/>
  <c r="I92" i="14"/>
  <c r="M92" i="5"/>
  <c r="J62" i="14"/>
  <c r="M62" i="5"/>
  <c r="J70" i="14"/>
  <c r="M70" i="5"/>
  <c r="J78" i="14"/>
  <c r="M78" i="5"/>
  <c r="J86" i="14"/>
  <c r="M86" i="5"/>
  <c r="J94" i="14"/>
  <c r="M94" i="5"/>
  <c r="O59" i="14"/>
  <c r="M59" i="5"/>
  <c r="O67" i="14"/>
  <c r="M67" i="5"/>
  <c r="O75" i="14"/>
  <c r="M75" i="5"/>
  <c r="O83" i="14"/>
  <c r="M83" i="5"/>
  <c r="O91" i="14"/>
  <c r="M91" i="5"/>
  <c r="O99" i="14"/>
  <c r="M99" i="5"/>
  <c r="H65" i="14"/>
  <c r="M65" i="5"/>
  <c r="H81" i="14"/>
  <c r="M81" i="5"/>
  <c r="J64" i="14"/>
  <c r="M64" i="5"/>
  <c r="J72" i="14"/>
  <c r="M72" i="5"/>
  <c r="N80" i="14"/>
  <c r="M80" i="5"/>
  <c r="N88" i="14"/>
  <c r="M88" i="5"/>
  <c r="N96" i="14"/>
  <c r="M96" i="5"/>
  <c r="H73" i="14"/>
  <c r="M73" i="5"/>
  <c r="H89" i="14"/>
  <c r="M89" i="5"/>
  <c r="J61" i="14"/>
  <c r="M61" i="5"/>
  <c r="J69" i="14"/>
  <c r="M69" i="5"/>
  <c r="K77" i="14"/>
  <c r="M77" i="5"/>
  <c r="K85" i="14"/>
  <c r="M85" i="5"/>
  <c r="K93" i="14"/>
  <c r="M93" i="5"/>
  <c r="H97" i="14"/>
  <c r="M97" i="5"/>
  <c r="K66" i="14"/>
  <c r="M66" i="5"/>
  <c r="K74" i="14"/>
  <c r="M74" i="5"/>
  <c r="K82" i="14"/>
  <c r="M82" i="5"/>
  <c r="K90" i="14"/>
  <c r="M90" i="5"/>
  <c r="K98" i="14"/>
  <c r="M98" i="5"/>
  <c r="J63" i="14"/>
  <c r="M63" i="5"/>
  <c r="J71" i="14"/>
  <c r="M71" i="5"/>
  <c r="J79" i="14"/>
  <c r="M79" i="5"/>
  <c r="J87" i="14"/>
  <c r="M87" i="5"/>
  <c r="J95" i="14"/>
  <c r="M95" i="5"/>
  <c r="E87" i="14"/>
  <c r="I70" i="14"/>
  <c r="K64" i="14"/>
  <c r="I63" i="14"/>
  <c r="E72" i="14"/>
  <c r="E86" i="14"/>
  <c r="E77" i="14"/>
  <c r="F82" i="14"/>
  <c r="H63" i="14"/>
  <c r="I73" i="14"/>
  <c r="N77" i="14"/>
  <c r="H62" i="14"/>
  <c r="I72" i="14"/>
  <c r="E61" i="14"/>
  <c r="F75" i="14"/>
  <c r="E79" i="14"/>
  <c r="H61" i="14"/>
  <c r="I79" i="14"/>
  <c r="I78" i="14"/>
  <c r="F88" i="14"/>
  <c r="I64" i="14"/>
  <c r="H78" i="14"/>
  <c r="F83" i="14"/>
  <c r="I96" i="14"/>
  <c r="F99" i="14"/>
  <c r="O60" i="14"/>
  <c r="K61" i="14"/>
  <c r="N64" i="14"/>
  <c r="E70" i="14"/>
  <c r="E71" i="14"/>
  <c r="K72" i="14"/>
  <c r="I81" i="14"/>
  <c r="N82" i="14"/>
  <c r="E85" i="14"/>
  <c r="I86" i="14"/>
  <c r="I87" i="14"/>
  <c r="I88" i="14"/>
  <c r="E94" i="14"/>
  <c r="O68" i="14"/>
  <c r="K87" i="14"/>
  <c r="F94" i="14"/>
  <c r="O76" i="14"/>
  <c r="N85" i="14"/>
  <c r="N86" i="14"/>
  <c r="H93" i="14"/>
  <c r="H94" i="14"/>
  <c r="O79" i="14"/>
  <c r="F66" i="14"/>
  <c r="E64" i="14"/>
  <c r="N70" i="14"/>
  <c r="E78" i="14"/>
  <c r="O84" i="14"/>
  <c r="F64" i="14"/>
  <c r="N66" i="14"/>
  <c r="F78" i="14"/>
  <c r="O87" i="14"/>
  <c r="O92" i="14"/>
  <c r="F59" i="14"/>
  <c r="N61" i="14"/>
  <c r="I62" i="14"/>
  <c r="E63" i="14"/>
  <c r="F67" i="14"/>
  <c r="K70" i="14"/>
  <c r="I71" i="14"/>
  <c r="F72" i="14"/>
  <c r="H77" i="14"/>
  <c r="K86" i="14"/>
  <c r="H87" i="14"/>
  <c r="E88" i="14"/>
  <c r="I89" i="14"/>
  <c r="N90" i="14"/>
  <c r="E93" i="14"/>
  <c r="O61" i="14"/>
  <c r="O69" i="14"/>
  <c r="O77" i="14"/>
  <c r="O85" i="14"/>
  <c r="O93" i="14"/>
  <c r="K95" i="14"/>
  <c r="K62" i="14"/>
  <c r="K71" i="14"/>
  <c r="O62" i="14"/>
  <c r="O70" i="14"/>
  <c r="O78" i="14"/>
  <c r="O86" i="14"/>
  <c r="O94" i="14"/>
  <c r="N69" i="14"/>
  <c r="O63" i="14"/>
  <c r="O71" i="14"/>
  <c r="O95" i="14"/>
  <c r="N62" i="14"/>
  <c r="K63" i="14"/>
  <c r="I65" i="14"/>
  <c r="E69" i="14"/>
  <c r="K78" i="14"/>
  <c r="H79" i="14"/>
  <c r="E80" i="14"/>
  <c r="N93" i="14"/>
  <c r="I94" i="14"/>
  <c r="E95" i="14"/>
  <c r="F98" i="14"/>
  <c r="O64" i="14"/>
  <c r="O72" i="14"/>
  <c r="O80" i="14"/>
  <c r="O88" i="14"/>
  <c r="O96" i="14"/>
  <c r="H69" i="14"/>
  <c r="N72" i="14"/>
  <c r="F80" i="14"/>
  <c r="K94" i="14"/>
  <c r="F95" i="14"/>
  <c r="O65" i="14"/>
  <c r="O73" i="14"/>
  <c r="O81" i="14"/>
  <c r="O89" i="14"/>
  <c r="O97" i="14"/>
  <c r="E62" i="14"/>
  <c r="K69" i="14"/>
  <c r="F70" i="14"/>
  <c r="N78" i="14"/>
  <c r="K79" i="14"/>
  <c r="I80" i="14"/>
  <c r="H85" i="14"/>
  <c r="F86" i="14"/>
  <c r="F91" i="14"/>
  <c r="H95" i="14"/>
  <c r="E96" i="14"/>
  <c r="I97" i="14"/>
  <c r="N98" i="14"/>
  <c r="O66" i="14"/>
  <c r="O74" i="14"/>
  <c r="O82" i="14"/>
  <c r="O90" i="14"/>
  <c r="O98" i="14"/>
  <c r="J60" i="14"/>
  <c r="F62" i="14"/>
  <c r="H70" i="14"/>
  <c r="K80" i="14"/>
  <c r="H86" i="14"/>
  <c r="F90" i="14"/>
  <c r="N94" i="14"/>
  <c r="I95" i="14"/>
  <c r="F96" i="14"/>
  <c r="K68" i="14"/>
  <c r="J73" i="14"/>
  <c r="N74" i="14"/>
  <c r="H75" i="14"/>
  <c r="H83" i="14"/>
  <c r="J89" i="14"/>
  <c r="H91" i="14"/>
  <c r="K92" i="14"/>
  <c r="J97" i="14"/>
  <c r="H99" i="14"/>
  <c r="J68" i="14"/>
  <c r="H59" i="14"/>
  <c r="K60" i="14"/>
  <c r="J65" i="14"/>
  <c r="H67" i="14"/>
  <c r="K76" i="14"/>
  <c r="J81" i="14"/>
  <c r="K84" i="14"/>
  <c r="I59" i="14"/>
  <c r="F61" i="14"/>
  <c r="N63" i="14"/>
  <c r="H64" i="14"/>
  <c r="K65" i="14"/>
  <c r="E66" i="14"/>
  <c r="I67" i="14"/>
  <c r="F69" i="14"/>
  <c r="N71" i="14"/>
  <c r="H72" i="14"/>
  <c r="K73" i="14"/>
  <c r="E74" i="14"/>
  <c r="I75" i="14"/>
  <c r="F77" i="14"/>
  <c r="N79" i="14"/>
  <c r="H80" i="14"/>
  <c r="K81" i="14"/>
  <c r="E82" i="14"/>
  <c r="I83" i="14"/>
  <c r="F85" i="14"/>
  <c r="N87" i="14"/>
  <c r="H88" i="14"/>
  <c r="K89" i="14"/>
  <c r="E90" i="14"/>
  <c r="I91" i="14"/>
  <c r="F93" i="14"/>
  <c r="N95" i="14"/>
  <c r="H96" i="14"/>
  <c r="K97" i="14"/>
  <c r="E98" i="14"/>
  <c r="I99" i="14"/>
  <c r="J76" i="14"/>
  <c r="J59" i="14"/>
  <c r="N60" i="14"/>
  <c r="F74" i="14"/>
  <c r="J75" i="14"/>
  <c r="J99" i="14"/>
  <c r="K59" i="14"/>
  <c r="E60" i="14"/>
  <c r="I61" i="14"/>
  <c r="F63" i="14"/>
  <c r="N65" i="14"/>
  <c r="H66" i="14"/>
  <c r="K67" i="14"/>
  <c r="E68" i="14"/>
  <c r="I69" i="14"/>
  <c r="F71" i="14"/>
  <c r="N73" i="14"/>
  <c r="H74" i="14"/>
  <c r="K75" i="14"/>
  <c r="E76" i="14"/>
  <c r="I77" i="14"/>
  <c r="F79" i="14"/>
  <c r="J80" i="14"/>
  <c r="N81" i="14"/>
  <c r="H82" i="14"/>
  <c r="K83" i="14"/>
  <c r="E84" i="14"/>
  <c r="I85" i="14"/>
  <c r="F87" i="14"/>
  <c r="J88" i="14"/>
  <c r="N89" i="14"/>
  <c r="H90" i="14"/>
  <c r="K91" i="14"/>
  <c r="E92" i="14"/>
  <c r="I93" i="14"/>
  <c r="J96" i="14"/>
  <c r="N97" i="14"/>
  <c r="H98" i="14"/>
  <c r="K99" i="14"/>
  <c r="J67" i="14"/>
  <c r="N76" i="14"/>
  <c r="J83" i="14"/>
  <c r="N84" i="14"/>
  <c r="J91" i="14"/>
  <c r="N92" i="14"/>
  <c r="F60" i="14"/>
  <c r="E65" i="14"/>
  <c r="I66" i="14"/>
  <c r="F68" i="14"/>
  <c r="H71" i="14"/>
  <c r="E73" i="14"/>
  <c r="I74" i="14"/>
  <c r="F76" i="14"/>
  <c r="J77" i="14"/>
  <c r="E81" i="14"/>
  <c r="I82" i="14"/>
  <c r="F84" i="14"/>
  <c r="J85" i="14"/>
  <c r="K88" i="14"/>
  <c r="E89" i="14"/>
  <c r="I90" i="14"/>
  <c r="F92" i="14"/>
  <c r="J93" i="14"/>
  <c r="K96" i="14"/>
  <c r="E97" i="14"/>
  <c r="I98" i="14"/>
  <c r="J74" i="14"/>
  <c r="N75" i="14"/>
  <c r="H76" i="14"/>
  <c r="F81" i="14"/>
  <c r="J82" i="14"/>
  <c r="N83" i="14"/>
  <c r="H84" i="14"/>
  <c r="F89" i="14"/>
  <c r="J90" i="14"/>
  <c r="N91" i="14"/>
  <c r="H92" i="14"/>
  <c r="F97" i="14"/>
  <c r="J98" i="14"/>
  <c r="N99" i="14"/>
  <c r="J84" i="14"/>
  <c r="J92" i="14"/>
  <c r="N68" i="14"/>
  <c r="N59" i="14"/>
  <c r="H60" i="14"/>
  <c r="F65" i="14"/>
  <c r="J66" i="14"/>
  <c r="N67" i="14"/>
  <c r="H68" i="14"/>
  <c r="F73" i="14"/>
  <c r="E59" i="14"/>
  <c r="E67" i="14"/>
  <c r="E75" i="14"/>
  <c r="E83" i="14"/>
  <c r="E91" i="14"/>
  <c r="E99" i="14"/>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M49" i="14"/>
  <c r="D49" i="14"/>
  <c r="C49" i="14"/>
  <c r="B49" i="14"/>
  <c r="A49" i="14"/>
  <c r="M49" i="5" s="1"/>
  <c r="M48" i="14"/>
  <c r="D48" i="14"/>
  <c r="C48" i="14"/>
  <c r="B48" i="14"/>
  <c r="A48" i="14"/>
  <c r="M48" i="5" s="1"/>
  <c r="M47" i="14"/>
  <c r="D47" i="14"/>
  <c r="C47" i="14"/>
  <c r="B47" i="14"/>
  <c r="A47" i="14"/>
  <c r="M47" i="5" s="1"/>
  <c r="M46" i="14"/>
  <c r="D46" i="14"/>
  <c r="C46" i="14"/>
  <c r="B46" i="14"/>
  <c r="A46" i="14"/>
  <c r="M46" i="5" s="1"/>
  <c r="M45" i="14"/>
  <c r="D45" i="14"/>
  <c r="C45" i="14"/>
  <c r="B45" i="14"/>
  <c r="A45" i="14"/>
  <c r="M45" i="5" s="1"/>
  <c r="M44" i="14"/>
  <c r="D44" i="14"/>
  <c r="C44" i="14"/>
  <c r="B44" i="14"/>
  <c r="A44" i="14"/>
  <c r="M44" i="5" s="1"/>
  <c r="M43" i="14"/>
  <c r="D43" i="14"/>
  <c r="C43" i="14"/>
  <c r="B43" i="14"/>
  <c r="A43" i="14"/>
  <c r="M43" i="5" s="1"/>
  <c r="M42" i="14"/>
  <c r="D42" i="14"/>
  <c r="C42" i="14"/>
  <c r="B42" i="14"/>
  <c r="A42" i="14"/>
  <c r="M42" i="5" s="1"/>
  <c r="M41" i="14"/>
  <c r="D41" i="14"/>
  <c r="C41" i="14"/>
  <c r="B41" i="14"/>
  <c r="A41" i="14"/>
  <c r="M41" i="5" s="1"/>
  <c r="M40" i="14"/>
  <c r="D40" i="14"/>
  <c r="C40" i="14"/>
  <c r="B40" i="14"/>
  <c r="A40" i="14"/>
  <c r="M40" i="5" s="1"/>
  <c r="M39" i="14"/>
  <c r="D39" i="14"/>
  <c r="C39" i="14"/>
  <c r="B39" i="14"/>
  <c r="A39" i="14"/>
  <c r="M39" i="5" s="1"/>
  <c r="M38" i="14"/>
  <c r="D38" i="14"/>
  <c r="C38" i="14"/>
  <c r="B38" i="14"/>
  <c r="A38" i="14"/>
  <c r="M38" i="5" s="1"/>
  <c r="M37" i="14"/>
  <c r="D37" i="14"/>
  <c r="C37" i="14"/>
  <c r="B37" i="14"/>
  <c r="A37" i="14"/>
  <c r="M37" i="5" s="1"/>
  <c r="M36" i="14"/>
  <c r="D36" i="14"/>
  <c r="C36" i="14"/>
  <c r="B36" i="14"/>
  <c r="A36" i="14"/>
  <c r="M36" i="5" s="1"/>
  <c r="M35" i="14"/>
  <c r="D35" i="14"/>
  <c r="C35" i="14"/>
  <c r="B35" i="14"/>
  <c r="A35" i="14"/>
  <c r="M35" i="5" s="1"/>
  <c r="M34" i="14"/>
  <c r="D34" i="14"/>
  <c r="C34" i="14"/>
  <c r="B34" i="14"/>
  <c r="A34" i="14"/>
  <c r="M34" i="5" s="1"/>
  <c r="M33" i="14"/>
  <c r="D33" i="14"/>
  <c r="C33" i="14"/>
  <c r="B33" i="14"/>
  <c r="A33" i="14"/>
  <c r="M33" i="5" s="1"/>
  <c r="M32" i="14"/>
  <c r="D32" i="14"/>
  <c r="C32" i="14"/>
  <c r="B32" i="14"/>
  <c r="A32" i="14"/>
  <c r="M32" i="5" s="1"/>
  <c r="M31" i="14"/>
  <c r="D31" i="14"/>
  <c r="C31" i="14"/>
  <c r="B31" i="14"/>
  <c r="A31" i="14"/>
  <c r="M31" i="5" s="1"/>
  <c r="M30" i="14"/>
  <c r="D30" i="14"/>
  <c r="C30" i="14"/>
  <c r="B30" i="14"/>
  <c r="A30" i="14"/>
  <c r="M30" i="5" s="1"/>
  <c r="M29" i="14"/>
  <c r="D29" i="14"/>
  <c r="C29" i="14"/>
  <c r="B29" i="14"/>
  <c r="A29" i="14"/>
  <c r="M29" i="5" s="1"/>
  <c r="M28" i="14"/>
  <c r="D28" i="14"/>
  <c r="C28" i="14"/>
  <c r="B28" i="14"/>
  <c r="A28" i="14"/>
  <c r="M28" i="5" s="1"/>
  <c r="M27" i="14"/>
  <c r="D27" i="14"/>
  <c r="C27" i="14"/>
  <c r="B27" i="14"/>
  <c r="A27" i="14"/>
  <c r="M27" i="5" s="1"/>
  <c r="M26" i="14"/>
  <c r="D26" i="14"/>
  <c r="C26" i="14"/>
  <c r="B26" i="14"/>
  <c r="A26" i="14"/>
  <c r="M26" i="5" s="1"/>
  <c r="M25" i="14"/>
  <c r="D25" i="14"/>
  <c r="C25" i="14"/>
  <c r="B25" i="14"/>
  <c r="A25" i="14"/>
  <c r="M25" i="5" s="1"/>
  <c r="M24" i="14"/>
  <c r="D24" i="14"/>
  <c r="C24" i="14"/>
  <c r="B24" i="14"/>
  <c r="A24" i="14"/>
  <c r="M24" i="5" s="1"/>
  <c r="M23" i="14"/>
  <c r="D23" i="14"/>
  <c r="C23" i="14"/>
  <c r="B23" i="14"/>
  <c r="A23" i="14"/>
  <c r="M23" i="5" s="1"/>
  <c r="M22" i="14"/>
  <c r="D22" i="14"/>
  <c r="C22" i="14"/>
  <c r="B22" i="14"/>
  <c r="A22" i="14"/>
  <c r="M22" i="5" s="1"/>
  <c r="M21" i="14"/>
  <c r="D21" i="14"/>
  <c r="C21" i="14"/>
  <c r="B21" i="14"/>
  <c r="A21" i="14"/>
  <c r="M21" i="5" s="1"/>
  <c r="M20" i="14"/>
  <c r="D20" i="14"/>
  <c r="C20" i="14"/>
  <c r="B20" i="14"/>
  <c r="A20" i="14"/>
  <c r="M20" i="5" s="1"/>
  <c r="M19" i="14"/>
  <c r="D19" i="14"/>
  <c r="C19" i="14"/>
  <c r="B19" i="14"/>
  <c r="A19" i="14"/>
  <c r="M19" i="5" s="1"/>
  <c r="M18" i="14"/>
  <c r="D18" i="14"/>
  <c r="C18" i="14"/>
  <c r="B18" i="14"/>
  <c r="A18" i="14"/>
  <c r="M18" i="5" s="1"/>
  <c r="M17" i="14"/>
  <c r="D17" i="14"/>
  <c r="C17" i="14"/>
  <c r="B17" i="14"/>
  <c r="A17" i="14"/>
  <c r="M17" i="5" s="1"/>
  <c r="M16" i="14"/>
  <c r="D16" i="14"/>
  <c r="C16" i="14"/>
  <c r="B16" i="14"/>
  <c r="A16" i="14"/>
  <c r="M16" i="5" s="1"/>
  <c r="M15" i="14"/>
  <c r="D15" i="14"/>
  <c r="C15" i="14"/>
  <c r="B15" i="14"/>
  <c r="A15" i="14"/>
  <c r="M15" i="5" s="1"/>
  <c r="M14" i="14"/>
  <c r="D14" i="14"/>
  <c r="C14" i="14"/>
  <c r="B14" i="14"/>
  <c r="A14" i="14"/>
  <c r="M14" i="5" s="1"/>
  <c r="M13" i="14"/>
  <c r="D13" i="14"/>
  <c r="C13" i="14"/>
  <c r="B13" i="14"/>
  <c r="A13" i="14"/>
  <c r="M13" i="5" s="1"/>
  <c r="M12" i="14"/>
  <c r="D12" i="14"/>
  <c r="C12" i="14"/>
  <c r="B12" i="14"/>
  <c r="M12" i="5"/>
  <c r="M11" i="14"/>
  <c r="D11" i="14"/>
  <c r="C11" i="14"/>
  <c r="B11" i="14"/>
  <c r="M10" i="14"/>
  <c r="D10" i="14"/>
  <c r="C10" i="14"/>
  <c r="B10" i="14"/>
  <c r="M9" i="14"/>
  <c r="D9" i="14"/>
  <c r="C9" i="14"/>
  <c r="B9" i="14"/>
  <c r="I23" i="14" l="1"/>
  <c r="F23" i="14"/>
  <c r="O23" i="14"/>
  <c r="E23" i="14"/>
  <c r="I47" i="14"/>
  <c r="F47" i="14"/>
  <c r="O47" i="14"/>
  <c r="E47" i="14"/>
  <c r="I12" i="14"/>
  <c r="O12" i="14"/>
  <c r="F12" i="14"/>
  <c r="E12" i="14"/>
  <c r="I20" i="14"/>
  <c r="O20" i="14"/>
  <c r="F20" i="14"/>
  <c r="E20" i="14"/>
  <c r="I28" i="14"/>
  <c r="E28" i="14"/>
  <c r="O28" i="14"/>
  <c r="F28" i="14"/>
  <c r="I36" i="14"/>
  <c r="O36" i="14"/>
  <c r="F36" i="14"/>
  <c r="E36" i="14"/>
  <c r="I44" i="14"/>
  <c r="O44" i="14"/>
  <c r="E44" i="14"/>
  <c r="F44" i="14"/>
  <c r="I17" i="14"/>
  <c r="F17" i="14"/>
  <c r="O17" i="14"/>
  <c r="E17" i="14"/>
  <c r="I25" i="14"/>
  <c r="F25" i="14"/>
  <c r="E25" i="14"/>
  <c r="O25" i="14"/>
  <c r="I33" i="14"/>
  <c r="F33" i="14"/>
  <c r="E33" i="14"/>
  <c r="O33" i="14"/>
  <c r="I41" i="14"/>
  <c r="F41" i="14"/>
  <c r="E41" i="14"/>
  <c r="O41" i="14"/>
  <c r="I49" i="14"/>
  <c r="F49" i="14"/>
  <c r="O49" i="14"/>
  <c r="E49" i="14"/>
  <c r="I15" i="14"/>
  <c r="F15" i="14"/>
  <c r="O15" i="14"/>
  <c r="E15" i="14"/>
  <c r="F9" i="14"/>
  <c r="O9" i="14" s="1"/>
  <c r="E9" i="14"/>
  <c r="H9" i="14" s="1"/>
  <c r="I9" i="14" s="1"/>
  <c r="I14" i="14"/>
  <c r="E14" i="14"/>
  <c r="O14" i="14"/>
  <c r="F14" i="14"/>
  <c r="I22" i="14"/>
  <c r="E22" i="14"/>
  <c r="O22" i="14"/>
  <c r="F22" i="14"/>
  <c r="I30" i="14"/>
  <c r="E30" i="14"/>
  <c r="O30" i="14"/>
  <c r="F30" i="14"/>
  <c r="I38" i="14"/>
  <c r="E38" i="14"/>
  <c r="O38" i="14"/>
  <c r="F38" i="14"/>
  <c r="I46" i="14"/>
  <c r="E46" i="14"/>
  <c r="O46" i="14"/>
  <c r="F46" i="14"/>
  <c r="F11" i="14"/>
  <c r="O11" i="14" s="1"/>
  <c r="E11" i="14"/>
  <c r="H11" i="14" s="1"/>
  <c r="I11" i="14" s="1"/>
  <c r="I19" i="14"/>
  <c r="O19" i="14"/>
  <c r="F19" i="14"/>
  <c r="E19" i="14"/>
  <c r="I35" i="14"/>
  <c r="O35" i="14"/>
  <c r="F35" i="14"/>
  <c r="E35" i="14"/>
  <c r="I43" i="14"/>
  <c r="O43" i="14"/>
  <c r="F43" i="14"/>
  <c r="E43" i="14"/>
  <c r="I16" i="14"/>
  <c r="E16" i="14"/>
  <c r="F16" i="14"/>
  <c r="O16" i="14"/>
  <c r="I24" i="14"/>
  <c r="F24" i="14"/>
  <c r="E24" i="14"/>
  <c r="O24" i="14"/>
  <c r="I32" i="14"/>
  <c r="E32" i="14"/>
  <c r="F32" i="14"/>
  <c r="O32" i="14"/>
  <c r="I40" i="14"/>
  <c r="E40" i="14"/>
  <c r="F40" i="14"/>
  <c r="O40" i="14"/>
  <c r="I48" i="14"/>
  <c r="F48" i="14"/>
  <c r="E48" i="14"/>
  <c r="O48" i="14"/>
  <c r="I39" i="14"/>
  <c r="F39" i="14"/>
  <c r="O39" i="14"/>
  <c r="E39" i="14"/>
  <c r="I13" i="14"/>
  <c r="O13" i="14"/>
  <c r="F13" i="14"/>
  <c r="E13" i="14"/>
  <c r="N13" i="14"/>
  <c r="I21" i="14"/>
  <c r="O21" i="14"/>
  <c r="F21" i="14"/>
  <c r="E21" i="14"/>
  <c r="I29" i="14"/>
  <c r="O29" i="14"/>
  <c r="F29" i="14"/>
  <c r="E29" i="14"/>
  <c r="I37" i="14"/>
  <c r="O37" i="14"/>
  <c r="F37" i="14"/>
  <c r="E37" i="14"/>
  <c r="I45" i="14"/>
  <c r="O45" i="14"/>
  <c r="F45" i="14"/>
  <c r="E45" i="14"/>
  <c r="I31" i="14"/>
  <c r="F31" i="14"/>
  <c r="O31" i="14"/>
  <c r="E31" i="14"/>
  <c r="I27" i="14"/>
  <c r="O27" i="14"/>
  <c r="F27" i="14"/>
  <c r="E27" i="14"/>
  <c r="E10" i="14"/>
  <c r="H10" i="14" s="1"/>
  <c r="I10" i="14" s="1"/>
  <c r="F10" i="14"/>
  <c r="O10" i="14" s="1"/>
  <c r="I18" i="14"/>
  <c r="E18" i="14"/>
  <c r="F18" i="14"/>
  <c r="O18" i="14"/>
  <c r="I26" i="14"/>
  <c r="E26" i="14"/>
  <c r="O26" i="14"/>
  <c r="F26" i="14"/>
  <c r="I34" i="14"/>
  <c r="E34" i="14"/>
  <c r="F34" i="14"/>
  <c r="O34" i="14"/>
  <c r="I42" i="14"/>
  <c r="E42" i="14"/>
  <c r="O42" i="14"/>
  <c r="F42" i="14"/>
  <c r="H13" i="14"/>
  <c r="H42" i="14"/>
  <c r="H20" i="14"/>
  <c r="H34" i="14"/>
  <c r="H26" i="14"/>
  <c r="H16" i="14"/>
  <c r="H31" i="14"/>
  <c r="H32" i="14"/>
  <c r="H24" i="14"/>
  <c r="H48" i="14"/>
  <c r="H40" i="14"/>
  <c r="H18" i="14"/>
  <c r="H22" i="14"/>
  <c r="H23" i="14"/>
  <c r="H39" i="14"/>
  <c r="H15" i="14"/>
  <c r="H17" i="14"/>
  <c r="J27" i="14"/>
  <c r="H35" i="14"/>
  <c r="H45" i="14"/>
  <c r="H47" i="14"/>
  <c r="H14" i="14"/>
  <c r="H19" i="14"/>
  <c r="H30" i="14"/>
  <c r="H43" i="14"/>
  <c r="H21" i="14"/>
  <c r="H33" i="14"/>
  <c r="H25" i="14"/>
  <c r="H37" i="14"/>
  <c r="H28" i="14"/>
  <c r="H36" i="14"/>
  <c r="H44" i="14"/>
  <c r="H46" i="14"/>
  <c r="J39" i="14" l="1"/>
  <c r="J40" i="14" s="1"/>
  <c r="N40" i="14" s="1"/>
  <c r="K40" i="14" s="1"/>
  <c r="J13" i="14"/>
  <c r="K13" i="14" s="1"/>
  <c r="H29" i="14"/>
  <c r="J28" i="14"/>
  <c r="N28" i="14" s="1"/>
  <c r="K28" i="14" s="1"/>
  <c r="H27" i="14"/>
  <c r="N27" i="14" s="1"/>
  <c r="K27" i="14" s="1"/>
  <c r="H49" i="14"/>
  <c r="H12" i="14"/>
  <c r="H38" i="14"/>
  <c r="H41" i="14"/>
  <c r="J19" i="14"/>
  <c r="J14" i="14" l="1"/>
  <c r="N14" i="14" s="1"/>
  <c r="K14" i="14" s="1"/>
  <c r="N39" i="14"/>
  <c r="K39" i="14" s="1"/>
  <c r="J41" i="14"/>
  <c r="J20" i="14"/>
  <c r="N19" i="14"/>
  <c r="K19" i="14" s="1"/>
  <c r="N41" i="14"/>
  <c r="K41" i="14" s="1"/>
  <c r="J29" i="14"/>
  <c r="J15" i="14" l="1"/>
  <c r="N15" i="14" s="1"/>
  <c r="K15" i="14" s="1"/>
  <c r="J42" i="14"/>
  <c r="N42" i="14" s="1"/>
  <c r="K42" i="14" s="1"/>
  <c r="N29" i="14"/>
  <c r="K29" i="14" s="1"/>
  <c r="J30" i="14"/>
  <c r="J16" i="14"/>
  <c r="N20" i="14"/>
  <c r="K20" i="14" s="1"/>
  <c r="J21" i="14"/>
  <c r="J43" i="14" l="1"/>
  <c r="N43" i="14" s="1"/>
  <c r="K43" i="14" s="1"/>
  <c r="N16" i="14"/>
  <c r="K16" i="14" s="1"/>
  <c r="J17" i="14"/>
  <c r="N21" i="14"/>
  <c r="K21" i="14" s="1"/>
  <c r="J22" i="14"/>
  <c r="J44" i="14"/>
  <c r="J31" i="14"/>
  <c r="N30" i="14"/>
  <c r="K30" i="14" s="1"/>
  <c r="N17" i="14" l="1"/>
  <c r="K17" i="14" s="1"/>
  <c r="J18" i="14"/>
  <c r="N18" i="14" s="1"/>
  <c r="K18" i="14" s="1"/>
  <c r="N22" i="14"/>
  <c r="K22" i="14" s="1"/>
  <c r="N44" i="14"/>
  <c r="K44" i="14" s="1"/>
  <c r="J45" i="14"/>
  <c r="J32" i="14"/>
  <c r="N31" i="14"/>
  <c r="K31" i="14" s="1"/>
  <c r="J23" i="14" l="1"/>
  <c r="N32" i="14"/>
  <c r="K32" i="14" s="1"/>
  <c r="J33" i="14"/>
  <c r="N45" i="14"/>
  <c r="K45" i="14" s="1"/>
  <c r="J46" i="14"/>
  <c r="J24" i="14"/>
  <c r="N23" i="14"/>
  <c r="K23" i="14" s="1"/>
  <c r="N46" i="14" l="1"/>
  <c r="K46" i="14" s="1"/>
  <c r="J47" i="14"/>
  <c r="J34" i="14"/>
  <c r="N33" i="14"/>
  <c r="K33" i="14" s="1"/>
  <c r="N24" i="14"/>
  <c r="K24" i="14" s="1"/>
  <c r="J25" i="14" l="1"/>
  <c r="N25" i="14" s="1"/>
  <c r="K25" i="14" s="1"/>
  <c r="J26" i="14"/>
  <c r="N26" i="14" s="1"/>
  <c r="K26" i="14" s="1"/>
  <c r="N34" i="14"/>
  <c r="K34" i="14" s="1"/>
  <c r="J35" i="14"/>
  <c r="N47" i="14"/>
  <c r="K47" i="14" s="1"/>
  <c r="J48" i="14"/>
  <c r="N48" i="14" l="1"/>
  <c r="K48" i="14" s="1"/>
  <c r="J49" i="14"/>
  <c r="N35" i="14"/>
  <c r="K35" i="14" s="1"/>
  <c r="J36" i="14"/>
  <c r="N36" i="14" l="1"/>
  <c r="K36" i="14" s="1"/>
  <c r="J37" i="14"/>
  <c r="N49" i="14"/>
  <c r="K49" i="14" s="1"/>
  <c r="N37" i="14" l="1"/>
  <c r="K37" i="14" s="1"/>
  <c r="J38" i="14" l="1"/>
  <c r="N38" i="14" s="1"/>
  <c r="K38" i="14" s="1"/>
  <c r="B34" i="4" l="1"/>
  <c r="D28" i="16"/>
  <c r="G7" i="4"/>
  <c r="G6" i="4"/>
  <c r="G5" i="4"/>
  <c r="E7" i="4"/>
  <c r="E6" i="4"/>
  <c r="E5" i="4"/>
  <c r="J57" i="14"/>
  <c r="C58" i="14"/>
  <c r="G8" i="16"/>
  <c r="G7" i="16"/>
  <c r="G6" i="16"/>
  <c r="G5" i="16"/>
  <c r="A58" i="14"/>
  <c r="M58" i="5" s="1"/>
  <c r="B58" i="14"/>
  <c r="D58" i="14"/>
  <c r="M58" i="14"/>
  <c r="E8" i="16"/>
  <c r="E7" i="16"/>
  <c r="E6" i="16"/>
  <c r="E5" i="16"/>
  <c r="C30" i="16"/>
  <c r="C29" i="16"/>
  <c r="C28" i="16"/>
  <c r="C27" i="16"/>
  <c r="C26" i="16"/>
  <c r="D25" i="16"/>
  <c r="C25" i="16"/>
  <c r="C17" i="16"/>
  <c r="C16" i="16"/>
  <c r="C15" i="16"/>
  <c r="C14" i="16"/>
  <c r="C13" i="16"/>
  <c r="D7" i="16"/>
  <c r="D6" i="16"/>
  <c r="D5" i="16"/>
  <c r="D4" i="16"/>
  <c r="A1" i="14"/>
  <c r="S22" i="13"/>
  <c r="R22" i="13"/>
  <c r="Q22" i="13"/>
  <c r="E58" i="14" l="1"/>
  <c r="O58" i="14"/>
  <c r="F58" i="14"/>
  <c r="H58" i="14"/>
  <c r="C33" i="16"/>
  <c r="C31" i="16"/>
  <c r="C32" i="16" s="1"/>
  <c r="D14" i="16"/>
  <c r="D13" i="16"/>
  <c r="B40" i="16"/>
  <c r="D27" i="16"/>
  <c r="D26" i="16"/>
  <c r="D15" i="16"/>
  <c r="D17" i="16"/>
  <c r="D30" i="16"/>
  <c r="D29" i="16"/>
  <c r="D16" i="16"/>
  <c r="C12" i="4"/>
  <c r="S28" i="1"/>
  <c r="S29" i="1"/>
  <c r="U29" i="1" s="1"/>
  <c r="S30" i="1"/>
  <c r="U30" i="1" s="1"/>
  <c r="S31" i="1"/>
  <c r="S32" i="1"/>
  <c r="S33" i="1"/>
  <c r="S34" i="1"/>
  <c r="U34" i="1" s="1"/>
  <c r="S35" i="1"/>
  <c r="S36" i="1"/>
  <c r="S37" i="1"/>
  <c r="U37" i="1" s="1"/>
  <c r="S38" i="1"/>
  <c r="U38" i="1" s="1"/>
  <c r="S39" i="1"/>
  <c r="S40" i="1"/>
  <c r="U40" i="1" s="1"/>
  <c r="S41" i="1"/>
  <c r="S42" i="1"/>
  <c r="U42" i="1" s="1"/>
  <c r="S43" i="1"/>
  <c r="S44" i="1"/>
  <c r="S45" i="1"/>
  <c r="U45" i="1" s="1"/>
  <c r="S46" i="1"/>
  <c r="U46" i="1" s="1"/>
  <c r="S47" i="1"/>
  <c r="S48" i="1"/>
  <c r="U48" i="1" s="1"/>
  <c r="S49" i="1"/>
  <c r="S50" i="1"/>
  <c r="U50" i="1" s="1"/>
  <c r="S51" i="1"/>
  <c r="S52" i="1"/>
  <c r="S53" i="1"/>
  <c r="U53" i="1" s="1"/>
  <c r="S54" i="1"/>
  <c r="U54" i="1" s="1"/>
  <c r="S55" i="1"/>
  <c r="S56" i="1"/>
  <c r="U56" i="1" s="1"/>
  <c r="S57" i="1"/>
  <c r="S58" i="1"/>
  <c r="U58" i="1" s="1"/>
  <c r="S59" i="1"/>
  <c r="S60" i="1"/>
  <c r="S61" i="1"/>
  <c r="U61" i="1" s="1"/>
  <c r="S62" i="1"/>
  <c r="U62" i="1" s="1"/>
  <c r="S63" i="1"/>
  <c r="S64" i="1"/>
  <c r="S65" i="1"/>
  <c r="S66" i="1"/>
  <c r="U66" i="1" s="1"/>
  <c r="S67" i="1"/>
  <c r="S68" i="1"/>
  <c r="S69" i="1"/>
  <c r="U69" i="1" s="1"/>
  <c r="S70" i="1"/>
  <c r="U70" i="1" s="1"/>
  <c r="S71" i="1"/>
  <c r="S72" i="1"/>
  <c r="U72" i="1" s="1"/>
  <c r="S73" i="1"/>
  <c r="S74" i="1"/>
  <c r="U74" i="1" s="1"/>
  <c r="S75" i="1"/>
  <c r="S76" i="1"/>
  <c r="S77" i="1"/>
  <c r="U77" i="1" s="1"/>
  <c r="S78" i="1"/>
  <c r="U78" i="1" s="1"/>
  <c r="S79" i="1"/>
  <c r="S80" i="1"/>
  <c r="U80" i="1" s="1"/>
  <c r="S81" i="1"/>
  <c r="S82" i="1"/>
  <c r="S83" i="1"/>
  <c r="S84" i="1"/>
  <c r="S85" i="1"/>
  <c r="U85" i="1" s="1"/>
  <c r="S86" i="1"/>
  <c r="U86" i="1" s="1"/>
  <c r="S87" i="1"/>
  <c r="S88" i="1"/>
  <c r="U88" i="1" s="1"/>
  <c r="S89" i="1"/>
  <c r="S90" i="1"/>
  <c r="U90" i="1" s="1"/>
  <c r="S91" i="1"/>
  <c r="S92" i="1"/>
  <c r="S93" i="1"/>
  <c r="U93" i="1" s="1"/>
  <c r="S94" i="1"/>
  <c r="U94" i="1" s="1"/>
  <c r="S95" i="1"/>
  <c r="S96" i="1"/>
  <c r="S97" i="1"/>
  <c r="S98" i="1"/>
  <c r="U98" i="1" s="1"/>
  <c r="S99" i="1"/>
  <c r="S100" i="1"/>
  <c r="S101" i="1"/>
  <c r="U101" i="1" s="1"/>
  <c r="S102" i="1"/>
  <c r="U102" i="1" s="1"/>
  <c r="S103" i="1"/>
  <c r="S104" i="1"/>
  <c r="U104" i="1" s="1"/>
  <c r="S105" i="1"/>
  <c r="S106" i="1"/>
  <c r="U106" i="1" s="1"/>
  <c r="S107" i="1"/>
  <c r="S108" i="1"/>
  <c r="S109" i="1"/>
  <c r="U109" i="1" s="1"/>
  <c r="S110" i="1"/>
  <c r="U110" i="1" s="1"/>
  <c r="S111" i="1"/>
  <c r="S112" i="1"/>
  <c r="U112" i="1" s="1"/>
  <c r="S113" i="1"/>
  <c r="S114" i="1"/>
  <c r="U114" i="1" s="1"/>
  <c r="V28" i="1"/>
  <c r="W28" i="1" s="1"/>
  <c r="V29" i="1"/>
  <c r="W29" i="1" s="1"/>
  <c r="V30" i="1"/>
  <c r="V31" i="1"/>
  <c r="W31" i="1" s="1"/>
  <c r="V32" i="1"/>
  <c r="W32" i="1" s="1"/>
  <c r="V33" i="1"/>
  <c r="V34" i="1"/>
  <c r="W34" i="1" s="1"/>
  <c r="V35" i="1"/>
  <c r="V36" i="1"/>
  <c r="W36" i="1" s="1"/>
  <c r="V37" i="1"/>
  <c r="W37" i="1" s="1"/>
  <c r="V38" i="1"/>
  <c r="V39" i="1"/>
  <c r="W39" i="1" s="1"/>
  <c r="V40" i="1"/>
  <c r="W40" i="1" s="1"/>
  <c r="V41" i="1"/>
  <c r="V42" i="1"/>
  <c r="W42" i="1" s="1"/>
  <c r="V43" i="1"/>
  <c r="V44" i="1"/>
  <c r="V45" i="1"/>
  <c r="W45" i="1" s="1"/>
  <c r="V46" i="1"/>
  <c r="V47" i="1"/>
  <c r="W47" i="1" s="1"/>
  <c r="V48" i="1"/>
  <c r="W48" i="1" s="1"/>
  <c r="V49" i="1"/>
  <c r="V50" i="1"/>
  <c r="V51" i="1"/>
  <c r="V52" i="1"/>
  <c r="V53" i="1"/>
  <c r="W53" i="1" s="1"/>
  <c r="V54" i="1"/>
  <c r="V55" i="1"/>
  <c r="W55" i="1" s="1"/>
  <c r="V56" i="1"/>
  <c r="W56" i="1" s="1"/>
  <c r="V57" i="1"/>
  <c r="V58" i="1"/>
  <c r="W58" i="1" s="1"/>
  <c r="V59" i="1"/>
  <c r="V60" i="1"/>
  <c r="W60" i="1" s="1"/>
  <c r="V61" i="1"/>
  <c r="W61" i="1" s="1"/>
  <c r="V62" i="1"/>
  <c r="V63" i="1"/>
  <c r="W63" i="1" s="1"/>
  <c r="V64" i="1"/>
  <c r="W64" i="1" s="1"/>
  <c r="V65" i="1"/>
  <c r="V66" i="1"/>
  <c r="V67" i="1"/>
  <c r="V68" i="1"/>
  <c r="W68" i="1" s="1"/>
  <c r="V69" i="1"/>
  <c r="W69" i="1" s="1"/>
  <c r="V70" i="1"/>
  <c r="V71" i="1"/>
  <c r="W71" i="1" s="1"/>
  <c r="V72" i="1"/>
  <c r="W72" i="1" s="1"/>
  <c r="V73" i="1"/>
  <c r="V74" i="1"/>
  <c r="W74" i="1" s="1"/>
  <c r="V75" i="1"/>
  <c r="V76" i="1"/>
  <c r="V77" i="1"/>
  <c r="W77" i="1" s="1"/>
  <c r="V78" i="1"/>
  <c r="V79" i="1"/>
  <c r="W79" i="1" s="1"/>
  <c r="V80" i="1"/>
  <c r="W80" i="1" s="1"/>
  <c r="V81" i="1"/>
  <c r="V82" i="1"/>
  <c r="W82" i="1" s="1"/>
  <c r="V83" i="1"/>
  <c r="V84" i="1"/>
  <c r="V85" i="1"/>
  <c r="W85" i="1" s="1"/>
  <c r="V86" i="1"/>
  <c r="V87" i="1"/>
  <c r="W87" i="1" s="1"/>
  <c r="V88" i="1"/>
  <c r="W88" i="1" s="1"/>
  <c r="V89" i="1"/>
  <c r="V90" i="1"/>
  <c r="W90" i="1" s="1"/>
  <c r="V91" i="1"/>
  <c r="V92" i="1"/>
  <c r="W92" i="1" s="1"/>
  <c r="V93" i="1"/>
  <c r="V94" i="1"/>
  <c r="V95" i="1"/>
  <c r="V96" i="1"/>
  <c r="W96" i="1" s="1"/>
  <c r="V97" i="1"/>
  <c r="V98" i="1"/>
  <c r="W98" i="1" s="1"/>
  <c r="V99" i="1"/>
  <c r="V100" i="1"/>
  <c r="W100" i="1" s="1"/>
  <c r="V101" i="1"/>
  <c r="W101" i="1" s="1"/>
  <c r="V102" i="1"/>
  <c r="V103" i="1"/>
  <c r="W103" i="1" s="1"/>
  <c r="V104" i="1"/>
  <c r="W104" i="1" s="1"/>
  <c r="V105" i="1"/>
  <c r="V106" i="1"/>
  <c r="V107" i="1"/>
  <c r="V108" i="1"/>
  <c r="V109" i="1"/>
  <c r="W109" i="1" s="1"/>
  <c r="V110" i="1"/>
  <c r="V111" i="1"/>
  <c r="W111" i="1" s="1"/>
  <c r="V112" i="1"/>
  <c r="W112" i="1" s="1"/>
  <c r="V113" i="1"/>
  <c r="V114" i="1"/>
  <c r="W114" i="1" s="1"/>
  <c r="W50" i="1"/>
  <c r="D33" i="16" l="1"/>
  <c r="C20" i="16"/>
  <c r="C18" i="16"/>
  <c r="C19" i="16" s="1"/>
  <c r="D31" i="16"/>
  <c r="D32" i="16" s="1"/>
  <c r="D18" i="16"/>
  <c r="D19" i="16" s="1"/>
  <c r="D20" i="16"/>
  <c r="O100" i="14"/>
  <c r="F100" i="14"/>
  <c r="I58" i="14"/>
  <c r="E100" i="14"/>
  <c r="O50" i="14"/>
  <c r="F50" i="14"/>
  <c r="H50" i="14"/>
  <c r="E50" i="14"/>
  <c r="U96" i="1"/>
  <c r="U64" i="1"/>
  <c r="U32" i="1"/>
  <c r="W66" i="1"/>
  <c r="U82" i="1"/>
  <c r="W93" i="1"/>
  <c r="W106" i="1"/>
  <c r="U95" i="1"/>
  <c r="U103" i="1"/>
  <c r="U79" i="1"/>
  <c r="U71" i="1"/>
  <c r="U55" i="1"/>
  <c r="U47" i="1"/>
  <c r="U31" i="1"/>
  <c r="W110" i="1"/>
  <c r="W102" i="1"/>
  <c r="W94" i="1"/>
  <c r="W86" i="1"/>
  <c r="W78" i="1"/>
  <c r="W70" i="1"/>
  <c r="W62" i="1"/>
  <c r="W54" i="1"/>
  <c r="W46" i="1"/>
  <c r="W38" i="1"/>
  <c r="W30" i="1"/>
  <c r="W95" i="1"/>
  <c r="U111" i="1"/>
  <c r="U87" i="1"/>
  <c r="U63" i="1"/>
  <c r="U39" i="1"/>
  <c r="U28" i="1"/>
  <c r="W76" i="1"/>
  <c r="W52" i="1"/>
  <c r="U108" i="1"/>
  <c r="U92" i="1"/>
  <c r="U76" i="1"/>
  <c r="U60" i="1"/>
  <c r="U44" i="1"/>
  <c r="W107" i="1"/>
  <c r="W99" i="1"/>
  <c r="W91" i="1"/>
  <c r="W83" i="1"/>
  <c r="W75" i="1"/>
  <c r="W67" i="1"/>
  <c r="W59" i="1"/>
  <c r="W51" i="1"/>
  <c r="W43" i="1"/>
  <c r="W35" i="1"/>
  <c r="U107" i="1"/>
  <c r="U99" i="1"/>
  <c r="U91" i="1"/>
  <c r="U83" i="1"/>
  <c r="U75" i="1"/>
  <c r="U67" i="1"/>
  <c r="U59" i="1"/>
  <c r="U51" i="1"/>
  <c r="U43" i="1"/>
  <c r="U35" i="1"/>
  <c r="W84" i="1"/>
  <c r="U100" i="1"/>
  <c r="U84" i="1"/>
  <c r="U68" i="1"/>
  <c r="U52" i="1"/>
  <c r="U36" i="1"/>
  <c r="W108" i="1"/>
  <c r="W44" i="1"/>
  <c r="W113" i="1"/>
  <c r="W105" i="1"/>
  <c r="W97" i="1"/>
  <c r="W89" i="1"/>
  <c r="W81" i="1"/>
  <c r="W73" i="1"/>
  <c r="W65" i="1"/>
  <c r="W57" i="1"/>
  <c r="W49" i="1"/>
  <c r="W41" i="1"/>
  <c r="W33" i="1"/>
  <c r="U113" i="1"/>
  <c r="U105" i="1"/>
  <c r="U97" i="1"/>
  <c r="U89" i="1"/>
  <c r="U81" i="1"/>
  <c r="U73" i="1"/>
  <c r="U65" i="1"/>
  <c r="U57" i="1"/>
  <c r="U49" i="1"/>
  <c r="U41" i="1"/>
  <c r="U33" i="1"/>
  <c r="J58" i="14" l="1"/>
  <c r="H100" i="14"/>
  <c r="Q125" i="1"/>
  <c r="N58" i="14" l="1"/>
  <c r="K58" i="14" s="1"/>
  <c r="J9" i="14"/>
  <c r="O15" i="1"/>
  <c r="N9" i="14" l="1"/>
  <c r="K9" i="14" s="1"/>
  <c r="J10" i="14"/>
  <c r="Q140" i="1"/>
  <c r="S140" i="1"/>
  <c r="V140" i="1"/>
  <c r="Q138" i="1"/>
  <c r="Q139" i="1"/>
  <c r="S138" i="1"/>
  <c r="S139" i="1"/>
  <c r="V138" i="1"/>
  <c r="V139" i="1"/>
  <c r="N10" i="14" l="1"/>
  <c r="K10" i="14" s="1"/>
  <c r="C38" i="16" s="1"/>
  <c r="J11" i="14"/>
  <c r="G14" i="16"/>
  <c r="H14" i="16"/>
  <c r="W140" i="1"/>
  <c r="U140" i="1"/>
  <c r="W139" i="1"/>
  <c r="U138" i="1"/>
  <c r="W138" i="1"/>
  <c r="U139" i="1"/>
  <c r="N11" i="14" l="1"/>
  <c r="K11" i="14" s="1"/>
  <c r="D38" i="16" s="1"/>
  <c r="H27" i="16"/>
  <c r="Q136" i="1"/>
  <c r="Q137" i="1"/>
  <c r="S136" i="1"/>
  <c r="S137" i="1"/>
  <c r="V136" i="1"/>
  <c r="V137" i="1"/>
  <c r="Q135" i="1"/>
  <c r="S135" i="1"/>
  <c r="V135" i="1"/>
  <c r="Q134" i="1"/>
  <c r="S134" i="1"/>
  <c r="V134" i="1"/>
  <c r="Q133" i="1"/>
  <c r="S133" i="1"/>
  <c r="V133" i="1"/>
  <c r="Q123" i="1"/>
  <c r="Q124" i="1"/>
  <c r="Q126" i="1"/>
  <c r="Q127" i="1"/>
  <c r="Q128" i="1"/>
  <c r="Q129" i="1"/>
  <c r="Q130" i="1"/>
  <c r="Q131" i="1"/>
  <c r="Q132" i="1"/>
  <c r="S123" i="1"/>
  <c r="S124" i="1"/>
  <c r="S125" i="1"/>
  <c r="S126" i="1"/>
  <c r="S127" i="1"/>
  <c r="S128" i="1"/>
  <c r="S129" i="1"/>
  <c r="S130" i="1"/>
  <c r="S131" i="1"/>
  <c r="S132" i="1"/>
  <c r="V123" i="1"/>
  <c r="V124" i="1"/>
  <c r="V125" i="1"/>
  <c r="V126" i="1"/>
  <c r="V127" i="1"/>
  <c r="V128" i="1"/>
  <c r="V129" i="1"/>
  <c r="V130" i="1"/>
  <c r="V131" i="1"/>
  <c r="V132" i="1"/>
  <c r="J12" i="14" l="1"/>
  <c r="N12" i="14" s="1"/>
  <c r="K12" i="14" s="1"/>
  <c r="I50" i="14"/>
  <c r="H15" i="16"/>
  <c r="H28" i="16"/>
  <c r="W124" i="1"/>
  <c r="U133" i="1"/>
  <c r="U135" i="1"/>
  <c r="W134" i="1"/>
  <c r="W136" i="1"/>
  <c r="W137" i="1"/>
  <c r="U137" i="1"/>
  <c r="U136" i="1"/>
  <c r="W135" i="1"/>
  <c r="U134" i="1"/>
  <c r="W133" i="1"/>
  <c r="U131" i="1"/>
  <c r="U128" i="1"/>
  <c r="W130" i="1"/>
  <c r="U130" i="1"/>
  <c r="U124" i="1"/>
  <c r="U129" i="1"/>
  <c r="W129" i="1"/>
  <c r="W128" i="1"/>
  <c r="U132" i="1"/>
  <c r="U126" i="1"/>
  <c r="W132" i="1"/>
  <c r="W126" i="1"/>
  <c r="W131" i="1"/>
  <c r="W127" i="1"/>
  <c r="U123" i="1"/>
  <c r="U127" i="1"/>
  <c r="W123" i="1"/>
  <c r="N50" i="14" l="1"/>
  <c r="E38" i="16"/>
  <c r="K50" i="14"/>
  <c r="H26" i="16"/>
  <c r="G15" i="16"/>
  <c r="F15" i="16"/>
  <c r="E15" i="16"/>
  <c r="G22" i="13"/>
  <c r="H22" i="13"/>
  <c r="I22" i="13"/>
  <c r="J22" i="13"/>
  <c r="K22" i="13"/>
  <c r="L22" i="13"/>
  <c r="M22" i="13"/>
  <c r="N22" i="13"/>
  <c r="O22" i="13"/>
  <c r="P22" i="13"/>
  <c r="F22" i="13"/>
  <c r="H16" i="16" l="1"/>
  <c r="H29" i="16" l="1"/>
  <c r="H13" i="16"/>
  <c r="V18" i="1"/>
  <c r="V19" i="1"/>
  <c r="V20" i="1"/>
  <c r="V21" i="1"/>
  <c r="V22" i="1"/>
  <c r="V23" i="1"/>
  <c r="V24" i="1"/>
  <c r="V25" i="1"/>
  <c r="V26" i="1"/>
  <c r="V27" i="1"/>
  <c r="V115" i="1"/>
  <c r="V116" i="1"/>
  <c r="V117" i="1"/>
  <c r="V118" i="1"/>
  <c r="V119" i="1"/>
  <c r="V120" i="1"/>
  <c r="V121" i="1"/>
  <c r="V122" i="1"/>
  <c r="S18" i="1"/>
  <c r="S19" i="1"/>
  <c r="S20" i="1"/>
  <c r="S21" i="1"/>
  <c r="S22" i="1"/>
  <c r="S23" i="1"/>
  <c r="S24" i="1"/>
  <c r="S25" i="1"/>
  <c r="S26" i="1"/>
  <c r="S27" i="1"/>
  <c r="S115" i="1"/>
  <c r="S116" i="1"/>
  <c r="S117" i="1"/>
  <c r="S118" i="1"/>
  <c r="S119" i="1"/>
  <c r="S120" i="1"/>
  <c r="S121" i="1"/>
  <c r="S122" i="1"/>
  <c r="H17" i="16" l="1"/>
  <c r="H30" i="16"/>
  <c r="Q115" i="1"/>
  <c r="Q116" i="1"/>
  <c r="Q117" i="1"/>
  <c r="Q118" i="1"/>
  <c r="Q119" i="1"/>
  <c r="Q120" i="1"/>
  <c r="Q121" i="1"/>
  <c r="Q122" i="1"/>
  <c r="G17" i="16" l="1"/>
  <c r="W122" i="1"/>
  <c r="U119" i="1"/>
  <c r="U23" i="1"/>
  <c r="U19" i="1"/>
  <c r="V17" i="1"/>
  <c r="S17" i="1"/>
  <c r="G13" i="16" l="1"/>
  <c r="G16" i="16"/>
  <c r="W118" i="1"/>
  <c r="W22" i="1"/>
  <c r="U115" i="1"/>
  <c r="W115" i="1"/>
  <c r="U20" i="1"/>
  <c r="W20" i="1"/>
  <c r="U25" i="1"/>
  <c r="W25" i="1"/>
  <c r="W27" i="1"/>
  <c r="W19" i="1"/>
  <c r="W21" i="1"/>
  <c r="W26" i="1"/>
  <c r="W120" i="1"/>
  <c r="U121" i="1"/>
  <c r="U21" i="1"/>
  <c r="E39" i="4" s="1"/>
  <c r="W117" i="1"/>
  <c r="U117" i="1"/>
  <c r="U18" i="1"/>
  <c r="W18" i="1"/>
  <c r="W116" i="1"/>
  <c r="U116" i="1"/>
  <c r="U17" i="1"/>
  <c r="W17" i="1"/>
  <c r="U24" i="1"/>
  <c r="W24" i="1"/>
  <c r="G30" i="16" s="1"/>
  <c r="U120" i="1"/>
  <c r="U22" i="1"/>
  <c r="U27" i="1"/>
  <c r="U118" i="1"/>
  <c r="W23" i="1"/>
  <c r="U26" i="1"/>
  <c r="W119" i="1"/>
  <c r="W121" i="1"/>
  <c r="U122" i="1"/>
  <c r="D39" i="4" l="1"/>
  <c r="G29" i="16"/>
  <c r="C39" i="4"/>
  <c r="G27" i="16"/>
  <c r="G39" i="4"/>
  <c r="G28" i="16"/>
  <c r="G26" i="16"/>
  <c r="G25" i="16"/>
  <c r="D7" i="4"/>
  <c r="D6" i="4"/>
  <c r="D5" i="4"/>
  <c r="D4" i="4"/>
  <c r="G33" i="16" l="1"/>
  <c r="G31" i="16"/>
  <c r="G32" i="16" s="1"/>
  <c r="C40" i="4"/>
  <c r="C41" i="4" s="1"/>
  <c r="D40" i="4"/>
  <c r="D41" i="4" s="1"/>
  <c r="F39" i="4"/>
  <c r="F40" i="4" s="1"/>
  <c r="F41" i="4" s="1"/>
  <c r="E40" i="4"/>
  <c r="E41" i="4" s="1"/>
  <c r="G40" i="16"/>
  <c r="D12" i="4"/>
  <c r="B41" i="4"/>
  <c r="G41" i="4"/>
  <c r="H25" i="4"/>
  <c r="F25" i="4"/>
  <c r="H12" i="4"/>
  <c r="G12" i="4"/>
  <c r="E12" i="4"/>
  <c r="F12" i="4"/>
  <c r="C25" i="4"/>
  <c r="F32" i="4" l="1"/>
  <c r="F33" i="4" s="1"/>
  <c r="H32" i="4"/>
  <c r="H33" i="4" s="1"/>
  <c r="H34" i="4"/>
  <c r="F34" i="4"/>
  <c r="C32" i="4"/>
  <c r="C33" i="4" s="1"/>
  <c r="C34" i="4"/>
  <c r="P15" i="1"/>
  <c r="C20" i="4" l="1"/>
  <c r="C18" i="4" l="1"/>
  <c r="C19" i="4" s="1"/>
  <c r="D25" i="4"/>
  <c r="D32" i="4" l="1"/>
  <c r="D33" i="4" s="1"/>
  <c r="D34" i="4"/>
  <c r="W125" i="1"/>
  <c r="G25" i="4" s="1"/>
  <c r="N15" i="1"/>
  <c r="G34" i="4" l="1"/>
  <c r="G32" i="4"/>
  <c r="G33" i="4" s="1"/>
  <c r="Q15" i="1"/>
  <c r="D20" i="4"/>
  <c r="U125" i="1"/>
  <c r="G18" i="4" l="1"/>
  <c r="G19" i="4" s="1"/>
  <c r="G20" i="4"/>
  <c r="H18" i="4"/>
  <c r="H19" i="4" s="1"/>
  <c r="H20" i="4"/>
  <c r="D18" i="4"/>
  <c r="D19" i="4" s="1"/>
  <c r="E25" i="4"/>
  <c r="E18" i="4" l="1"/>
  <c r="E19" i="4" s="1"/>
  <c r="E20" i="4"/>
  <c r="E34" i="4"/>
  <c r="E32" i="4"/>
  <c r="E33" i="4" s="1"/>
  <c r="F20" i="4"/>
  <c r="F18" i="4"/>
  <c r="F19" i="4" s="1"/>
  <c r="I100" i="14" l="1"/>
  <c r="H25" i="16"/>
  <c r="H33" i="16" l="1"/>
  <c r="H31" i="16"/>
  <c r="H32" i="16" s="1"/>
  <c r="N100" i="14"/>
  <c r="K100" i="14" l="1"/>
  <c r="H20" i="16" l="1"/>
  <c r="H18" i="16"/>
  <c r="H19" i="16" s="1"/>
  <c r="G18" i="16"/>
  <c r="G19" i="16" s="1"/>
  <c r="G20" i="16"/>
  <c r="E14" i="16"/>
  <c r="F28" i="16"/>
  <c r="F25" i="16"/>
  <c r="F14" i="16" l="1"/>
  <c r="E25" i="16"/>
  <c r="E30" i="16"/>
  <c r="F30" i="16"/>
  <c r="E29" i="16"/>
  <c r="F29" i="16"/>
  <c r="E17" i="16"/>
  <c r="F17" i="16"/>
  <c r="E28" i="16"/>
  <c r="E13" i="16" l="1"/>
  <c r="F13" i="16"/>
  <c r="F26" i="16"/>
  <c r="E26" i="16"/>
  <c r="G38" i="16"/>
  <c r="F38" i="16" s="1"/>
  <c r="E27" i="16"/>
  <c r="F27" i="16"/>
  <c r="E16" i="16"/>
  <c r="F16" i="16"/>
  <c r="F18" i="16" l="1"/>
  <c r="F19" i="16" s="1"/>
  <c r="E18" i="16"/>
  <c r="E19" i="16" s="1"/>
  <c r="F20" i="16"/>
  <c r="E20" i="16"/>
  <c r="E31" i="16"/>
  <c r="E32" i="16" s="1"/>
  <c r="E33" i="16"/>
  <c r="F31" i="16"/>
  <c r="F32" i="16" s="1"/>
  <c r="F33" i="16"/>
  <c r="F39" i="16"/>
  <c r="F40" i="16" s="1"/>
  <c r="D39" i="16"/>
  <c r="D40" i="16" s="1"/>
  <c r="C39" i="16"/>
  <c r="C40" i="16" s="1"/>
  <c r="E39" i="16"/>
  <c r="E40"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Nelson</author>
  </authors>
  <commentList>
    <comment ref="O137" authorId="0" shapeId="0" xr:uid="{C581D69A-3900-41E0-AB97-A69AAE493594}">
      <text>
        <r>
          <rPr>
            <b/>
            <sz val="9"/>
            <color indexed="81"/>
            <rFont val="Tahoma"/>
            <family val="2"/>
          </rPr>
          <t>Andrew Nelson:</t>
        </r>
        <r>
          <rPr>
            <sz val="9"/>
            <color indexed="81"/>
            <rFont val="Tahoma"/>
            <family val="2"/>
          </rPr>
          <t xml:space="preserve">
Gross Loss: $193,617.43
Indemnity Outstanding: $29,755.75
Indemnity Paid: $63,861.68</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Matthew Harrell</author>
  </authors>
  <commentList>
    <comment ref="E1" authorId="0" shapeId="0" xr:uid="{00000000-0006-0000-0400-000001000000}">
      <text>
        <r>
          <rPr>
            <b/>
            <sz val="9"/>
            <color indexed="81"/>
            <rFont val="Tahoma"/>
            <family val="2"/>
          </rPr>
          <t>Matthew Harrell:</t>
        </r>
        <r>
          <rPr>
            <sz val="9"/>
            <color indexed="81"/>
            <rFont val="Tahoma"/>
            <family val="2"/>
          </rPr>
          <t xml:space="preserve">
Define column headers with Name Manager and then have the Indirect reference for dropdownin Data Validation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Vestcor 18-19 GL Loss Summary (ongoing) 08.08.18.xlsm!Table1" type="102" refreshedVersion="8" minRefreshableVersion="5">
    <extLst>
      <ext xmlns:x15="http://schemas.microsoft.com/office/spreadsheetml/2010/11/main" uri="{DE250136-89BD-433C-8126-D09CA5730AF9}">
        <x15:connection id="Table1">
          <x15:rangePr sourceName="_xlcn.WorksheetConnection_Vestcor1819GLLossSummaryongoing08.08.18.xlsm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<sst xmlns="http://schemas.openxmlformats.org/spreadsheetml/2006/main" count="242" uniqueCount="110">
  <si>
    <t xml:space="preserve">Status </t>
  </si>
  <si>
    <t xml:space="preserve">Loss Description </t>
  </si>
  <si>
    <t>Loss Location</t>
  </si>
  <si>
    <t>Claim Number</t>
  </si>
  <si>
    <t>Policy Period</t>
  </si>
  <si>
    <t>Loss Classification</t>
  </si>
  <si>
    <t>Claim Total</t>
  </si>
  <si>
    <t>2014 - 2015</t>
  </si>
  <si>
    <t>2013 - 2014</t>
  </si>
  <si>
    <t>2012 - 2013</t>
  </si>
  <si>
    <t>2011 - 2012</t>
  </si>
  <si>
    <t>Grand Total</t>
  </si>
  <si>
    <t># of Claims</t>
  </si>
  <si>
    <t>Policy Year</t>
  </si>
  <si>
    <t xml:space="preserve">Claim Total </t>
  </si>
  <si>
    <t>LR Valuation Date</t>
  </si>
  <si>
    <t>2010 - 2011</t>
  </si>
  <si>
    <t>2015 - 2016</t>
  </si>
  <si>
    <t>Total</t>
  </si>
  <si>
    <t>Carrier</t>
  </si>
  <si>
    <t>Sold</t>
  </si>
  <si>
    <t>Owned</t>
  </si>
  <si>
    <t>Ownership Status</t>
  </si>
  <si>
    <t>Loss Sub-Classification</t>
  </si>
  <si>
    <t>Claim Status</t>
  </si>
  <si>
    <t>Open</t>
  </si>
  <si>
    <t>Closed</t>
  </si>
  <si>
    <t>2016 - 2017</t>
  </si>
  <si>
    <t>PolicyYears</t>
  </si>
  <si>
    <t>Date of Loss</t>
  </si>
  <si>
    <t>2017 - 2018</t>
  </si>
  <si>
    <t>2018 - 2019</t>
  </si>
  <si>
    <t>Unknown</t>
  </si>
  <si>
    <t>Totals</t>
  </si>
  <si>
    <t>Paid Total</t>
  </si>
  <si>
    <t>Reserve Total</t>
  </si>
  <si>
    <t>City</t>
  </si>
  <si>
    <t>State</t>
  </si>
  <si>
    <t>Re-Opened</t>
  </si>
  <si>
    <t>Fire</t>
  </si>
  <si>
    <t>Vehicle Damage</t>
  </si>
  <si>
    <t>Windstorm</t>
  </si>
  <si>
    <t>Flood</t>
  </si>
  <si>
    <t>Earth Movement</t>
  </si>
  <si>
    <t>Boiler &amp; Machinery</t>
  </si>
  <si>
    <t>Lightning</t>
  </si>
  <si>
    <t>Vandalism</t>
  </si>
  <si>
    <t>Kitchen Fire</t>
  </si>
  <si>
    <t>Tenant Induced</t>
  </si>
  <si>
    <t>Electical Fire</t>
  </si>
  <si>
    <t>Frozen Pipe</t>
  </si>
  <si>
    <t>Back-up of Sewer or Drain</t>
  </si>
  <si>
    <t>Hail</t>
  </si>
  <si>
    <t>Property Loss Summary</t>
  </si>
  <si>
    <t>% of Total</t>
  </si>
  <si>
    <t>TIV (if % Deductible)</t>
  </si>
  <si>
    <t>AOP</t>
  </si>
  <si>
    <t>Current Deductibles</t>
  </si>
  <si>
    <t>Policy Deductible(Current)</t>
  </si>
  <si>
    <t>Paid Deductible (Current)</t>
  </si>
  <si>
    <t>Policy Deductible (Other)</t>
  </si>
  <si>
    <t>Other Deductibles</t>
  </si>
  <si>
    <t>Paid Deductible (Other)</t>
  </si>
  <si>
    <t>Deductibles</t>
  </si>
  <si>
    <t>Alternative Deductible</t>
  </si>
  <si>
    <t>Gross Loss</t>
  </si>
  <si>
    <t>Excess of Alternative Deductible</t>
  </si>
  <si>
    <t>Claims by Cause of Loss
(Owned Locations)</t>
  </si>
  <si>
    <t>2019 - 2020</t>
  </si>
  <si>
    <t>Alternative Deductible 1</t>
  </si>
  <si>
    <t>Alternative Deductible 2</t>
  </si>
  <si>
    <t>2020 - 2021</t>
  </si>
  <si>
    <t>Water Damage</t>
  </si>
  <si>
    <t>Location(s)</t>
  </si>
  <si>
    <t>Layer</t>
  </si>
  <si>
    <t>Valulation Date</t>
  </si>
  <si>
    <t>Current Ownership</t>
  </si>
  <si>
    <t>Prior Ownership</t>
  </si>
  <si>
    <t>Loss Runs Status</t>
  </si>
  <si>
    <t>Proposed Deductible</t>
  </si>
  <si>
    <t>All Other Perils (AOP)</t>
  </si>
  <si>
    <t>Alternative AAL</t>
  </si>
  <si>
    <t>Excess of Proposed Deductible</t>
  </si>
  <si>
    <t>Loss Run Ownership</t>
  </si>
  <si>
    <t>Enter Claim Total for that Policy Year</t>
  </si>
  <si>
    <t>DBB Claim Total</t>
  </si>
  <si>
    <t>Currently Owned Locations Only</t>
  </si>
  <si>
    <t>All Locations in Loss Runs
(Owned &amp; Sold)</t>
  </si>
  <si>
    <t>2021 - 2022</t>
  </si>
  <si>
    <t>2022 - 2023</t>
  </si>
  <si>
    <t>2023 - 2024</t>
  </si>
  <si>
    <t>2024 - 2025</t>
  </si>
  <si>
    <t>Current Ownership Or Prior Ownership Loss Run</t>
  </si>
  <si>
    <t>Claim Excess of Going in Deductible</t>
  </si>
  <si>
    <t>Insured Claims Within Plus Agg</t>
  </si>
  <si>
    <t>Remaining Plus Agg</t>
  </si>
  <si>
    <t>Adjusted Claim Total 
Paid by Carrier</t>
  </si>
  <si>
    <t>Plus Aggregate Analysis</t>
  </si>
  <si>
    <t>Location TIV
(For Wind Claims)</t>
  </si>
  <si>
    <t>All Other Perils</t>
  </si>
  <si>
    <t>Plus Aggregate</t>
  </si>
  <si>
    <t>Named Windstorm</t>
  </si>
  <si>
    <t>Cause of Loss</t>
  </si>
  <si>
    <t>ONLY EDIT DEDUCTIBLES</t>
  </si>
  <si>
    <t>Claims Not Applicable  to Aggregate</t>
  </si>
  <si>
    <t>Claims Not applicable to agg total</t>
  </si>
  <si>
    <t>Claims Appliclable to agg total</t>
  </si>
  <si>
    <t>Named Windsotrm, Flood, and Earth Movement do not Erode Aggregate</t>
  </si>
  <si>
    <t>Claims Applicable to Aggregate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</si>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</sst>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164" formatCode="&quot;$&quot;#,##0"/>
    <numFmt numFmtId="165" formatCode="mm/dd/yy;@"/>
    <numFmt numFmtId="166" formatCode="&quot;$&quot;#,##0.00"/>
  </numFmts>
  <fonts count="31">
    <font>
      <sz val="11"/>
      <color theme="1"/>
      <name val="Calibri"/>
      <family val="2"/>
      <scheme val="minor"/>
    </font>
    <font>
      <sz val="9"/>
      <color indexed="81"/>
      <name val="Tahoma"/>
      <family val="2"/>
    </font>
    <font>
      <b/>
      <sz val="9"/>
      <color indexed="81"/>
      <name val="Tahoma"/>
      <family val="2"/>
    </font>
    <font>
      <sz val="14"/>
      <color theme="1"/>
      <name val="Calibri"/>
      <family val="2"/>
      <scheme val="minor"/>
    </font>
    <font>
      <sz val="11"/>
      <color theme="1"/>
      <name val="TradeGothic Condensed No. 18"/>
      <family val="3"/>
    </font>
    <font>
      <u/>
      <sz val="11"/>
      <color theme="10"/>
      <name val="Calibri"/>
      <family val="2"/>
      <scheme val="minor"/>
    </font>
    <font>
      <sz val="11"/>
      <color theme="1"/>
      <name val="Calibri"/>
      <family val="2"/>
      <scheme val="minor"/>
    </font>
    <font>
      <sz val="8"/>
      <name val="Calibri"/>
      <family val="2"/>
      <scheme val="minor"/>
    </font>
    <font>
      <sz val="11"/>
      <color theme="0"/>
      <name val="Calibri"/>
      <family val="2"/>
      <scheme val="minor"/>
    </font>
    <font>
      <b/>
      <sz val="11"/>
      <color theme="1"/>
      <name val="Calibri"/>
      <family val="2"/>
      <scheme val="minor"/>
    </font>
    <font>
      <b/>
      <sz val="12"/>
      <color theme="0"/>
      <name val="Calibri"/>
      <family val="2"/>
      <scheme val="minor"/>
    </font>
    <font>
      <sz val="12"/>
      <color rgb="FFFFFFFF"/>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sz val="11"/>
      <color rgb="FFFFFFFF"/>
      <name val="Calibri"/>
      <family val="2"/>
      <scheme val="minor"/>
    </font>
    <font>
      <sz val="11"/>
      <color rgb="FF000000"/>
      <name val="Calibri"/>
      <family val="2"/>
      <scheme val="minor"/>
    </font>
    <font>
      <b/>
      <sz val="11"/>
      <color rgb="FFFF0000"/>
      <name val="Calibri"/>
      <family val="2"/>
      <scheme val="minor"/>
    </font>
    <font>
      <sz val="8"/>
      <name val="Arial"/>
      <family val="2"/>
    </font>
    <font>
      <sz val="9"/>
      <color theme="1"/>
      <name val="Calibri"/>
      <family val="2"/>
      <scheme val="minor"/>
    </font>
    <font>
      <sz val="8"/>
      <color theme="1"/>
      <name val="Arial"/>
      <family val="2"/>
    </font>
    <font>
      <sz val="8"/>
      <color theme="1"/>
      <name val="Calibri"/>
      <family val="2"/>
      <scheme val="minor"/>
    </font>
    <font>
      <sz val="9"/>
      <name val="Calibri"/>
      <family val="2"/>
      <scheme val="minor"/>
    </font>
    <font>
      <b/>
      <sz val="14"/>
      <color theme="1"/>
      <name val="Calibri"/>
      <family val="2"/>
      <scheme val="minor"/>
    </font>
    <font>
      <b/>
      <sz val="16"/>
      <color theme="1"/>
      <name val="Calibri"/>
      <family val="2"/>
      <scheme val="minor"/>
    </font>
    <font>
      <b/>
      <sz val="12"/>
      <color rgb="FFFFFFFF"/>
      <name val="Calibri"/>
      <family val="2"/>
      <scheme val="minor"/>
    </font>
    <font>
      <b/>
      <sz val="22"/>
      <color theme="1"/>
      <name val="Calibri"/>
      <family val="2"/>
      <scheme val="minor"/>
    </font>
    <font>
      <b/>
      <sz val="16"/>
      <color theme="0"/>
      <name val="Calibri"/>
      <family val="2"/>
      <scheme val="minor"/>
    </font>
    <font>
      <b/>
      <sz val="9"/>
      <color rgb="FFFF0000"/>
      <name val="Calibri"/>
      <family val="2"/>
      <scheme val="minor"/>
    </font>
    <font>
      <sz val="9"/>
      <color rgb="FFFF000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theme="1" tint="0.34998626667073579"/>
        <bgColor indexed="64"/>
      </patternFill>
    </fill>
    <fill>
      <patternFill patternType="solid">
        <fgColor theme="3" tint="0.59999389629810485"/>
        <bgColor indexed="64"/>
      </patternFill>
    </fill>
    <fill>
      <patternFill patternType="solid">
        <fgColor theme="7" tint="0.59999389629810485"/>
        <bgColor indexed="64"/>
      </patternFill>
    </fill>
    <fill>
      <patternFill patternType="solid">
        <fgColor rgb="FF06909E"/>
        <bgColor indexed="64"/>
      </patternFill>
    </fill>
    <fill>
      <patternFill patternType="solid">
        <fgColor rgb="FF00939D"/>
        <bgColor indexed="64"/>
      </patternFill>
    </fill>
    <fill>
      <patternFill patternType="solid">
        <fgColor rgb="FF00557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style="thin">
        <color rgb="FF000000"/>
      </bottom>
      <diagonal/>
    </border>
    <border>
      <left style="thin">
        <color indexed="64"/>
      </left>
      <right style="thin">
        <color indexed="64"/>
      </right>
      <top style="medium">
        <color indexed="64"/>
      </top>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5" fillId="0" borderId="0" applyNumberFormat="0" applyFill="0" applyBorder="0" applyAlignment="0" applyProtection="0"/>
    <xf numFmtId="9" fontId="6" fillId="0" borderId="0" applyFont="0" applyFill="0" applyBorder="0" applyAlignment="0" applyProtection="0"/>
  </cellStyleXfs>
  <cellXfs count="265">
    <xf numFmtId="0" fontId="0" fillId="0" borderId="0" xfId="0"/>
    <xf numFmtId="0" fontId="0" fillId="0" borderId="1" xfId="0" applyBorder="1"/>
    <xf numFmtId="0" fontId="0" fillId="3" borderId="1" xfId="0" applyFill="1" applyBorder="1"/>
    <xf numFmtId="0" fontId="0" fillId="3" borderId="2" xfId="0" applyFill="1" applyBorder="1"/>
    <xf numFmtId="0" fontId="4" fillId="0" borderId="0" xfId="0" applyFont="1"/>
    <xf numFmtId="0" fontId="5" fillId="0" borderId="0" xfId="1"/>
    <xf numFmtId="8" fontId="3" fillId="0" borderId="0" xfId="0" applyNumberFormat="1" applyFont="1"/>
    <xf numFmtId="0" fontId="0" fillId="0" borderId="0" xfId="0" applyAlignment="1">
      <alignment horizontal="center"/>
    </xf>
    <xf numFmtId="0" fontId="0" fillId="3" borderId="1" xfId="0" applyFill="1" applyBorder="1" applyAlignment="1">
      <alignment horizontal="center"/>
    </xf>
    <xf numFmtId="0" fontId="0" fillId="2" borderId="13" xfId="0" applyFill="1" applyBorder="1" applyAlignment="1">
      <alignment horizontal="center"/>
    </xf>
    <xf numFmtId="0" fontId="0" fillId="2" borderId="18" xfId="0" applyFill="1" applyBorder="1" applyAlignment="1">
      <alignment horizontal="center"/>
    </xf>
    <xf numFmtId="0" fontId="0" fillId="2" borderId="14" xfId="0" applyFill="1" applyBorder="1" applyAlignment="1">
      <alignment horizontal="center"/>
    </xf>
    <xf numFmtId="0" fontId="3" fillId="4" borderId="21" xfId="0" applyFont="1" applyFill="1" applyBorder="1" applyAlignment="1">
      <alignment horizontal="left"/>
    </xf>
    <xf numFmtId="6" fontId="0" fillId="0" borderId="3" xfId="0" applyNumberFormat="1" applyBorder="1" applyAlignment="1">
      <alignment horizontal="center"/>
    </xf>
    <xf numFmtId="6" fontId="0" fillId="0" borderId="1" xfId="0" applyNumberFormat="1" applyBorder="1" applyAlignment="1">
      <alignment horizontal="center"/>
    </xf>
    <xf numFmtId="6" fontId="0" fillId="0" borderId="4" xfId="0" applyNumberFormat="1" applyBorder="1" applyAlignment="1">
      <alignment horizontal="center"/>
    </xf>
    <xf numFmtId="6" fontId="0" fillId="0" borderId="13" xfId="0" applyNumberFormat="1" applyBorder="1" applyAlignment="1">
      <alignment horizontal="center"/>
    </xf>
    <xf numFmtId="6" fontId="0" fillId="0" borderId="18" xfId="0" applyNumberFormat="1" applyBorder="1" applyAlignment="1">
      <alignment horizontal="center"/>
    </xf>
    <xf numFmtId="6" fontId="0" fillId="0" borderId="14" xfId="0" applyNumberFormat="1" applyBorder="1" applyAlignment="1">
      <alignment horizontal="center"/>
    </xf>
    <xf numFmtId="6" fontId="0" fillId="2" borderId="13" xfId="0" applyNumberFormat="1" applyFill="1" applyBorder="1" applyAlignment="1">
      <alignment horizontal="center"/>
    </xf>
    <xf numFmtId="6" fontId="0" fillId="2" borderId="18" xfId="0" applyNumberFormat="1" applyFill="1" applyBorder="1" applyAlignment="1">
      <alignment horizontal="center"/>
    </xf>
    <xf numFmtId="6" fontId="0" fillId="2" borderId="14" xfId="0" applyNumberFormat="1" applyFill="1" applyBorder="1" applyAlignment="1">
      <alignment horizontal="center"/>
    </xf>
    <xf numFmtId="0" fontId="0" fillId="0" borderId="3" xfId="0" applyBorder="1" applyAlignment="1">
      <alignment horizontal="center"/>
    </xf>
    <xf numFmtId="0" fontId="0" fillId="0" borderId="1" xfId="0" applyBorder="1" applyAlignment="1">
      <alignment horizontal="center"/>
    </xf>
    <xf numFmtId="14" fontId="0" fillId="0" borderId="4" xfId="0" applyNumberFormat="1" applyBorder="1" applyAlignment="1">
      <alignment horizontal="center"/>
    </xf>
    <xf numFmtId="0" fontId="0" fillId="0" borderId="4" xfId="0" applyBorder="1" applyAlignment="1">
      <alignment horizontal="center"/>
    </xf>
    <xf numFmtId="0" fontId="8" fillId="9" borderId="11" xfId="0" applyFont="1" applyFill="1" applyBorder="1" applyAlignment="1">
      <alignment horizontal="center"/>
    </xf>
    <xf numFmtId="0" fontId="8" fillId="9" borderId="22" xfId="0" applyFont="1" applyFill="1" applyBorder="1" applyAlignment="1">
      <alignment horizontal="center"/>
    </xf>
    <xf numFmtId="0" fontId="8" fillId="9" borderId="30" xfId="0" applyFont="1" applyFill="1" applyBorder="1" applyAlignment="1">
      <alignment horizontal="center"/>
    </xf>
    <xf numFmtId="0" fontId="8" fillId="9" borderId="12" xfId="0" applyFont="1" applyFill="1" applyBorder="1" applyAlignment="1">
      <alignment horizontal="center"/>
    </xf>
    <xf numFmtId="0" fontId="0" fillId="0" borderId="13" xfId="0" applyBorder="1" applyAlignment="1">
      <alignment horizontal="center"/>
    </xf>
    <xf numFmtId="0" fontId="0" fillId="0" borderId="18" xfId="0" applyBorder="1" applyAlignment="1">
      <alignment horizontal="center"/>
    </xf>
    <xf numFmtId="0" fontId="0" fillId="0" borderId="14" xfId="0" applyBorder="1" applyAlignment="1">
      <alignment horizontal="center"/>
    </xf>
    <xf numFmtId="6" fontId="0" fillId="0" borderId="2" xfId="0" applyNumberFormat="1" applyBorder="1" applyAlignment="1">
      <alignment horizontal="center"/>
    </xf>
    <xf numFmtId="6" fontId="0" fillId="0" borderId="29" xfId="0" applyNumberFormat="1" applyBorder="1" applyAlignment="1">
      <alignment horizontal="center"/>
    </xf>
    <xf numFmtId="6" fontId="0" fillId="2" borderId="29" xfId="0" applyNumberFormat="1" applyFill="1" applyBorder="1" applyAlignment="1">
      <alignment horizontal="center"/>
    </xf>
    <xf numFmtId="0" fontId="11" fillId="11" borderId="11" xfId="0" applyFont="1" applyFill="1" applyBorder="1" applyAlignment="1">
      <alignment horizontal="center" vertical="center" wrapText="1"/>
    </xf>
    <xf numFmtId="0" fontId="11" fillId="11" borderId="12" xfId="0" applyFont="1" applyFill="1" applyBorder="1" applyAlignment="1">
      <alignment horizontal="center" vertical="center" wrapText="1"/>
    </xf>
    <xf numFmtId="1" fontId="10" fillId="10" borderId="3" xfId="0" applyNumberFormat="1" applyFont="1" applyFill="1" applyBorder="1" applyAlignment="1">
      <alignment horizontal="center"/>
    </xf>
    <xf numFmtId="6" fontId="10" fillId="10" borderId="4" xfId="0" applyNumberFormat="1" applyFont="1" applyFill="1" applyBorder="1" applyAlignment="1">
      <alignment horizontal="center" vertical="center"/>
    </xf>
    <xf numFmtId="6" fontId="10" fillId="10" borderId="11" xfId="0" applyNumberFormat="1" applyFont="1" applyFill="1" applyBorder="1" applyAlignment="1">
      <alignment horizontal="center" vertical="center"/>
    </xf>
    <xf numFmtId="6" fontId="10" fillId="10" borderId="1" xfId="0" applyNumberFormat="1" applyFont="1" applyFill="1" applyBorder="1" applyAlignment="1">
      <alignment horizontal="center" vertical="center"/>
    </xf>
    <xf numFmtId="6" fontId="0" fillId="0" borderId="0" xfId="0" applyNumberFormat="1"/>
    <xf numFmtId="0" fontId="12" fillId="0" borderId="0" xfId="0" applyFont="1" applyAlignment="1">
      <alignment horizontal="left"/>
    </xf>
    <xf numFmtId="6" fontId="13" fillId="0" borderId="0" xfId="0" applyNumberFormat="1" applyFont="1"/>
    <xf numFmtId="0" fontId="13" fillId="0" borderId="0" xfId="0" applyFont="1"/>
    <xf numFmtId="6" fontId="13" fillId="0" borderId="3" xfId="0" applyNumberFormat="1" applyFont="1" applyBorder="1" applyAlignment="1">
      <alignment horizontal="left"/>
    </xf>
    <xf numFmtId="6" fontId="13" fillId="0" borderId="1" xfId="0" applyNumberFormat="1" applyFont="1" applyBorder="1" applyAlignment="1">
      <alignment horizontal="center"/>
    </xf>
    <xf numFmtId="6" fontId="13" fillId="0" borderId="4" xfId="0" applyNumberFormat="1" applyFont="1" applyBorder="1" applyAlignment="1">
      <alignment horizontal="center"/>
    </xf>
    <xf numFmtId="9" fontId="13" fillId="0" borderId="1" xfId="0" applyNumberFormat="1" applyFont="1" applyBorder="1" applyAlignment="1">
      <alignment horizontal="center"/>
    </xf>
    <xf numFmtId="6" fontId="13" fillId="0" borderId="13" xfId="0" applyNumberFormat="1" applyFont="1" applyBorder="1" applyAlignment="1">
      <alignment horizontal="left"/>
    </xf>
    <xf numFmtId="6" fontId="13" fillId="0" borderId="18" xfId="0" applyNumberFormat="1" applyFont="1" applyBorder="1" applyAlignment="1">
      <alignment horizontal="center"/>
    </xf>
    <xf numFmtId="6" fontId="13" fillId="0" borderId="14" xfId="0" applyNumberFormat="1"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13" fillId="0" borderId="19" xfId="0" applyFont="1" applyBorder="1" applyAlignment="1">
      <alignment horizontal="center"/>
    </xf>
    <xf numFmtId="6" fontId="13" fillId="0" borderId="20" xfId="0" applyNumberFormat="1" applyFont="1" applyBorder="1" applyAlignment="1">
      <alignment horizontal="center"/>
    </xf>
    <xf numFmtId="0" fontId="13" fillId="0" borderId="3" xfId="0" applyFont="1" applyBorder="1" applyAlignment="1">
      <alignment horizontal="center"/>
    </xf>
    <xf numFmtId="0" fontId="13" fillId="0" borderId="7" xfId="0" applyFont="1" applyBorder="1" applyAlignment="1">
      <alignment horizontal="center"/>
    </xf>
    <xf numFmtId="1" fontId="13" fillId="0" borderId="11" xfId="0" applyNumberFormat="1" applyFont="1" applyBorder="1" applyAlignment="1">
      <alignment horizontal="center"/>
    </xf>
    <xf numFmtId="6" fontId="13" fillId="0" borderId="30" xfId="0" applyNumberFormat="1" applyFont="1" applyBorder="1" applyAlignment="1">
      <alignment horizontal="center"/>
    </xf>
    <xf numFmtId="0" fontId="13" fillId="0" borderId="24" xfId="0" applyFont="1" applyBorder="1" applyAlignment="1">
      <alignment horizontal="center"/>
    </xf>
    <xf numFmtId="1" fontId="13" fillId="0" borderId="13" xfId="0" applyNumberFormat="1" applyFont="1" applyBorder="1" applyAlignment="1">
      <alignment horizontal="center"/>
    </xf>
    <xf numFmtId="6" fontId="13" fillId="0" borderId="29" xfId="0" applyNumberFormat="1" applyFont="1" applyBorder="1" applyAlignment="1">
      <alignment horizontal="center"/>
    </xf>
    <xf numFmtId="8" fontId="13" fillId="0" borderId="0" xfId="0" applyNumberFormat="1" applyFont="1"/>
    <xf numFmtId="0" fontId="11" fillId="11" borderId="38" xfId="0" applyFont="1" applyFill="1" applyBorder="1" applyAlignment="1">
      <alignment horizontal="center" vertical="center" wrapText="1"/>
    </xf>
    <xf numFmtId="0" fontId="11" fillId="11" borderId="22" xfId="0" applyFont="1" applyFill="1" applyBorder="1" applyAlignment="1">
      <alignment horizontal="center" vertical="center" wrapText="1"/>
    </xf>
    <xf numFmtId="0" fontId="13" fillId="0" borderId="1" xfId="0" applyFont="1" applyBorder="1" applyAlignment="1">
      <alignment horizontal="center"/>
    </xf>
    <xf numFmtId="0" fontId="13" fillId="0" borderId="18" xfId="0" applyFont="1" applyBorder="1" applyAlignment="1">
      <alignment horizontal="center"/>
    </xf>
    <xf numFmtId="0" fontId="0" fillId="5" borderId="0" xfId="0" applyFill="1" applyAlignment="1">
      <alignment horizontal="center"/>
    </xf>
    <xf numFmtId="49" fontId="0" fillId="5" borderId="0" xfId="0" applyNumberFormat="1" applyFill="1"/>
    <xf numFmtId="165" fontId="0" fillId="5" borderId="0" xfId="0" applyNumberFormat="1" applyFill="1" applyAlignment="1">
      <alignment horizontal="center" vertical="top"/>
    </xf>
    <xf numFmtId="0" fontId="0" fillId="5" borderId="0" xfId="0" applyFill="1"/>
    <xf numFmtId="164" fontId="0" fillId="5" borderId="0" xfId="0" applyNumberFormat="1" applyFill="1"/>
    <xf numFmtId="6" fontId="0" fillId="5" borderId="0" xfId="0" applyNumberFormat="1" applyFill="1"/>
    <xf numFmtId="164" fontId="0" fillId="5" borderId="15" xfId="0" applyNumberFormat="1" applyFill="1" applyBorder="1"/>
    <xf numFmtId="14" fontId="0" fillId="5" borderId="0" xfId="0" applyNumberFormat="1" applyFill="1"/>
    <xf numFmtId="14" fontId="0" fillId="5" borderId="26" xfId="0" applyNumberFormat="1" applyFill="1" applyBorder="1"/>
    <xf numFmtId="0" fontId="0" fillId="5" borderId="0" xfId="0" applyFill="1" applyAlignment="1">
      <alignment horizontal="left"/>
    </xf>
    <xf numFmtId="165" fontId="0" fillId="5" borderId="0" xfId="0" applyNumberFormat="1" applyFill="1" applyAlignment="1">
      <alignment horizontal="left" vertical="top"/>
    </xf>
    <xf numFmtId="164" fontId="0" fillId="5" borderId="0" xfId="0" applyNumberFormat="1" applyFill="1" applyAlignment="1">
      <alignment horizontal="center"/>
    </xf>
    <xf numFmtId="0" fontId="0" fillId="5" borderId="15" xfId="0" applyFill="1" applyBorder="1"/>
    <xf numFmtId="0" fontId="8" fillId="6" borderId="1" xfId="0" applyFont="1" applyFill="1" applyBorder="1"/>
    <xf numFmtId="0" fontId="8" fillId="6" borderId="1" xfId="0" applyFont="1" applyFill="1" applyBorder="1" applyAlignment="1">
      <alignment horizontal="center"/>
    </xf>
    <xf numFmtId="0" fontId="0" fillId="4" borderId="1" xfId="0" applyFill="1" applyBorder="1"/>
    <xf numFmtId="8" fontId="0" fillId="4" borderId="1" xfId="0" applyNumberFormat="1" applyFill="1" applyBorder="1" applyAlignment="1">
      <alignment horizontal="center"/>
    </xf>
    <xf numFmtId="8" fontId="0" fillId="4" borderId="4" xfId="0" applyNumberFormat="1" applyFill="1" applyBorder="1" applyAlignment="1">
      <alignment horizontal="center"/>
    </xf>
    <xf numFmtId="164" fontId="0" fillId="4" borderId="1" xfId="0" applyNumberFormat="1" applyFill="1" applyBorder="1"/>
    <xf numFmtId="164" fontId="0" fillId="5" borderId="0" xfId="0" quotePrefix="1" applyNumberFormat="1" applyFill="1"/>
    <xf numFmtId="6" fontId="0" fillId="5" borderId="0" xfId="0" quotePrefix="1" applyNumberFormat="1" applyFill="1"/>
    <xf numFmtId="166" fontId="0" fillId="5" borderId="0" xfId="0" applyNumberFormat="1" applyFill="1"/>
    <xf numFmtId="49" fontId="0" fillId="0" borderId="0" xfId="0" applyNumberFormat="1"/>
    <xf numFmtId="165" fontId="0" fillId="0" borderId="0" xfId="0" applyNumberFormat="1" applyAlignment="1">
      <alignment horizontal="center" vertical="top"/>
    </xf>
    <xf numFmtId="164" fontId="0" fillId="0" borderId="0" xfId="0" applyNumberFormat="1"/>
    <xf numFmtId="164" fontId="0" fillId="5" borderId="27" xfId="0" applyNumberFormat="1" applyFill="1" applyBorder="1"/>
    <xf numFmtId="164" fontId="0" fillId="5" borderId="31" xfId="0" applyNumberFormat="1" applyFill="1" applyBorder="1"/>
    <xf numFmtId="0" fontId="8" fillId="5" borderId="31" xfId="0" applyFont="1" applyFill="1" applyBorder="1"/>
    <xf numFmtId="0" fontId="8" fillId="5" borderId="28" xfId="0" applyFont="1" applyFill="1" applyBorder="1"/>
    <xf numFmtId="14" fontId="0" fillId="0" borderId="0" xfId="0" applyNumberFormat="1"/>
    <xf numFmtId="166" fontId="0" fillId="0" borderId="0" xfId="0" applyNumberFormat="1"/>
    <xf numFmtId="14" fontId="15" fillId="0" borderId="0" xfId="0" applyNumberFormat="1" applyFont="1" applyAlignment="1">
      <alignment horizontal="center" vertical="center"/>
    </xf>
    <xf numFmtId="164" fontId="15" fillId="0" borderId="0" xfId="0" applyNumberFormat="1" applyFont="1" applyAlignment="1">
      <alignment horizontal="center" vertical="center" wrapText="1"/>
    </xf>
    <xf numFmtId="0" fontId="14" fillId="0" borderId="0" xfId="0" applyFont="1" applyAlignment="1">
      <alignment wrapText="1"/>
    </xf>
    <xf numFmtId="14"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49" fontId="14" fillId="0" borderId="1" xfId="0" applyNumberFormat="1" applyFon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6" fontId="0" fillId="0" borderId="1" xfId="0" applyNumberFormat="1" applyBorder="1" applyAlignment="1">
      <alignment horizontal="center" vertical="center" wrapText="1"/>
    </xf>
    <xf numFmtId="164" fontId="14" fillId="0" borderId="1" xfId="0" applyNumberFormat="1" applyFont="1" applyBorder="1" applyAlignment="1">
      <alignment horizontal="center" vertical="center" wrapText="1"/>
    </xf>
    <xf numFmtId="164" fontId="0" fillId="0" borderId="1" xfId="0" applyNumberFormat="1" applyBorder="1" applyAlignment="1">
      <alignment horizontal="center" vertical="center" wrapText="1"/>
    </xf>
    <xf numFmtId="14" fontId="14" fillId="0" borderId="1" xfId="0" applyNumberFormat="1" applyFont="1" applyBorder="1" applyAlignment="1">
      <alignment horizontal="center" vertical="center"/>
    </xf>
    <xf numFmtId="6" fontId="0" fillId="0" borderId="3" xfId="2" applyNumberFormat="1" applyFont="1" applyFill="1" applyBorder="1" applyAlignment="1">
      <alignment horizontal="center" vertical="center" wrapText="1"/>
    </xf>
    <xf numFmtId="164" fontId="0" fillId="5" borderId="32" xfId="0" applyNumberFormat="1" applyFill="1" applyBorder="1" applyAlignment="1">
      <alignment horizontal="center" vertical="center" wrapText="1"/>
    </xf>
    <xf numFmtId="0" fontId="0" fillId="0" borderId="0" xfId="0" applyAlignment="1">
      <alignment horizontal="center" vertical="center"/>
    </xf>
    <xf numFmtId="49" fontId="0" fillId="0" borderId="1" xfId="0" applyNumberFormat="1" applyBorder="1" applyAlignment="1">
      <alignment horizontal="center" vertical="center" wrapText="1"/>
    </xf>
    <xf numFmtId="0" fontId="0" fillId="0" borderId="4" xfId="0" applyBorder="1" applyAlignment="1">
      <alignment horizontal="center" vertical="center" wrapText="1"/>
    </xf>
    <xf numFmtId="49" fontId="17" fillId="0" borderId="36" xfId="0" applyNumberFormat="1" applyFont="1" applyBorder="1" applyAlignment="1">
      <alignment wrapText="1"/>
    </xf>
    <xf numFmtId="6" fontId="18" fillId="0" borderId="3" xfId="2" applyNumberFormat="1" applyFont="1" applyFill="1" applyBorder="1" applyAlignment="1">
      <alignment horizontal="center" vertical="center" wrapText="1"/>
    </xf>
    <xf numFmtId="6" fontId="18" fillId="0" borderId="2" xfId="0" applyNumberFormat="1" applyFont="1" applyBorder="1" applyAlignment="1">
      <alignment horizontal="center" vertical="center" wrapText="1"/>
    </xf>
    <xf numFmtId="164" fontId="0" fillId="5" borderId="4" xfId="0" applyNumberFormat="1" applyFill="1" applyBorder="1" applyAlignment="1">
      <alignment horizontal="center" vertical="center" wrapText="1"/>
    </xf>
    <xf numFmtId="14" fontId="0" fillId="0" borderId="0" xfId="0" applyNumberFormat="1" applyAlignment="1">
      <alignment horizontal="center" vertical="center"/>
    </xf>
    <xf numFmtId="49" fontId="0" fillId="0" borderId="0" xfId="0" applyNumberFormat="1" applyAlignment="1">
      <alignment horizontal="center" vertical="center"/>
    </xf>
    <xf numFmtId="164" fontId="0" fillId="0" borderId="0" xfId="0" applyNumberFormat="1" applyAlignment="1">
      <alignment horizontal="center" vertical="center"/>
    </xf>
    <xf numFmtId="0" fontId="14" fillId="0" borderId="1" xfId="0" applyFont="1" applyBorder="1" applyAlignment="1">
      <alignment horizontal="center" vertical="center"/>
    </xf>
    <xf numFmtId="0" fontId="0" fillId="0" borderId="25" xfId="0" applyBorder="1" applyAlignment="1">
      <alignment horizontal="center" vertical="center" wrapText="1"/>
    </xf>
    <xf numFmtId="49" fontId="0" fillId="0" borderId="25" xfId="0" applyNumberFormat="1" applyBorder="1" applyAlignment="1">
      <alignment horizontal="center" vertical="center" wrapText="1"/>
    </xf>
    <xf numFmtId="14" fontId="0" fillId="0" borderId="25" xfId="0" applyNumberFormat="1" applyBorder="1" applyAlignment="1">
      <alignment horizontal="center" vertical="center" wrapText="1"/>
    </xf>
    <xf numFmtId="0" fontId="0" fillId="0" borderId="25" xfId="0" applyBorder="1" applyAlignment="1">
      <alignment horizontal="center" vertical="center"/>
    </xf>
    <xf numFmtId="6" fontId="0" fillId="0" borderId="25" xfId="0" applyNumberFormat="1" applyBorder="1" applyAlignment="1">
      <alignment horizontal="center" vertical="center" wrapText="1"/>
    </xf>
    <xf numFmtId="164" fontId="0" fillId="0" borderId="25" xfId="0" applyNumberFormat="1" applyBorder="1" applyAlignment="1">
      <alignment horizontal="center" vertical="center" wrapText="1"/>
    </xf>
    <xf numFmtId="14" fontId="14" fillId="0" borderId="25" xfId="0" applyNumberFormat="1" applyFont="1" applyBorder="1" applyAlignment="1">
      <alignment horizontal="center" vertical="center" wrapText="1"/>
    </xf>
    <xf numFmtId="0" fontId="14" fillId="0" borderId="25" xfId="0" applyFont="1" applyBorder="1" applyAlignment="1">
      <alignment horizontal="center" vertical="center" wrapText="1"/>
    </xf>
    <xf numFmtId="49" fontId="14" fillId="0" borderId="25" xfId="0" applyNumberFormat="1" applyFont="1" applyBorder="1" applyAlignment="1">
      <alignment horizontal="center" vertical="center" wrapText="1"/>
    </xf>
    <xf numFmtId="14" fontId="14" fillId="0" borderId="25" xfId="0" applyNumberFormat="1" applyFont="1" applyBorder="1" applyAlignment="1">
      <alignment horizontal="center" vertical="center"/>
    </xf>
    <xf numFmtId="164" fontId="14" fillId="0" borderId="25" xfId="0" applyNumberFormat="1" applyFont="1" applyBorder="1" applyAlignment="1">
      <alignment horizontal="center" vertical="center" wrapText="1"/>
    </xf>
    <xf numFmtId="6" fontId="18" fillId="0" borderId="33" xfId="2" applyNumberFormat="1" applyFont="1" applyFill="1" applyBorder="1" applyAlignment="1">
      <alignment horizontal="center" vertical="center" wrapText="1"/>
    </xf>
    <xf numFmtId="6" fontId="18" fillId="0" borderId="35" xfId="0" applyNumberFormat="1" applyFont="1" applyBorder="1" applyAlignment="1">
      <alignment horizontal="center" vertical="center" wrapText="1"/>
    </xf>
    <xf numFmtId="6" fontId="0" fillId="0" borderId="33" xfId="2" applyNumberFormat="1" applyFont="1" applyFill="1" applyBorder="1" applyAlignment="1">
      <alignment horizontal="center" vertical="center" wrapText="1"/>
    </xf>
    <xf numFmtId="164" fontId="0" fillId="5" borderId="34" xfId="0" applyNumberFormat="1" applyFill="1" applyBorder="1" applyAlignment="1">
      <alignment horizontal="center" vertical="center" wrapText="1"/>
    </xf>
    <xf numFmtId="14" fontId="0" fillId="0" borderId="0" xfId="0" applyNumberFormat="1" applyAlignment="1">
      <alignment horizontal="center" vertical="center" wrapText="1"/>
    </xf>
    <xf numFmtId="0" fontId="14" fillId="0" borderId="0" xfId="0" applyFont="1" applyAlignment="1">
      <alignment horizontal="center" vertical="center" wrapText="1"/>
    </xf>
    <xf numFmtId="49" fontId="0" fillId="0" borderId="0" xfId="0" applyNumberFormat="1" applyAlignment="1">
      <alignment horizontal="center" vertical="center" wrapText="1"/>
    </xf>
    <xf numFmtId="0" fontId="0" fillId="0" borderId="0" xfId="0" applyAlignment="1">
      <alignment horizontal="center" vertical="center" wrapText="1"/>
    </xf>
    <xf numFmtId="6" fontId="0" fillId="0" borderId="0" xfId="0" applyNumberFormat="1" applyAlignment="1">
      <alignment horizontal="center" vertical="center" wrapText="1"/>
    </xf>
    <xf numFmtId="164" fontId="0" fillId="0" borderId="0" xfId="0" applyNumberFormat="1" applyAlignment="1">
      <alignment horizontal="center" vertical="center" wrapText="1"/>
    </xf>
    <xf numFmtId="164" fontId="0" fillId="0" borderId="0" xfId="0" applyNumberFormat="1" applyAlignment="1">
      <alignment horizontal="center"/>
    </xf>
    <xf numFmtId="0" fontId="9" fillId="0" borderId="0" xfId="0" applyFont="1" applyAlignment="1">
      <alignment vertical="center"/>
    </xf>
    <xf numFmtId="164" fontId="0" fillId="4" borderId="5" xfId="0" applyNumberFormat="1" applyFill="1" applyBorder="1" applyAlignment="1">
      <alignment horizontal="center"/>
    </xf>
    <xf numFmtId="164" fontId="0" fillId="4" borderId="39" xfId="0" applyNumberFormat="1" applyFill="1" applyBorder="1" applyAlignment="1">
      <alignment horizontal="center"/>
    </xf>
    <xf numFmtId="164" fontId="0" fillId="4" borderId="9" xfId="0" applyNumberFormat="1" applyFill="1" applyBorder="1" applyAlignment="1">
      <alignment horizontal="center"/>
    </xf>
    <xf numFmtId="0" fontId="16" fillId="11" borderId="1" xfId="0" applyFont="1" applyFill="1" applyBorder="1" applyAlignment="1">
      <alignment horizontal="center" vertical="center" wrapText="1"/>
    </xf>
    <xf numFmtId="0" fontId="16" fillId="11" borderId="2" xfId="0" applyFont="1" applyFill="1" applyBorder="1" applyAlignment="1">
      <alignment horizontal="center" vertical="center" wrapText="1"/>
    </xf>
    <xf numFmtId="14" fontId="14" fillId="0" borderId="2" xfId="0" applyNumberFormat="1" applyFont="1" applyBorder="1" applyAlignment="1">
      <alignment horizontal="center" vertical="center"/>
    </xf>
    <xf numFmtId="0" fontId="0" fillId="0" borderId="2" xfId="0" applyBorder="1" applyAlignment="1">
      <alignment horizontal="center" vertical="center"/>
    </xf>
    <xf numFmtId="14" fontId="0" fillId="0" borderId="35" xfId="0" applyNumberFormat="1" applyBorder="1" applyAlignment="1">
      <alignment horizontal="center" vertical="center"/>
    </xf>
    <xf numFmtId="14" fontId="14" fillId="0" borderId="35" xfId="0" applyNumberFormat="1" applyFont="1" applyBorder="1" applyAlignment="1">
      <alignment horizontal="center" vertical="center"/>
    </xf>
    <xf numFmtId="0" fontId="16" fillId="11" borderId="3" xfId="0" applyFont="1" applyFill="1" applyBorder="1" applyAlignment="1">
      <alignment horizontal="center" vertical="center" wrapText="1"/>
    </xf>
    <xf numFmtId="0" fontId="16" fillId="11" borderId="4" xfId="0" applyFont="1" applyFill="1" applyBorder="1" applyAlignment="1">
      <alignment horizontal="center" vertical="center" wrapText="1"/>
    </xf>
    <xf numFmtId="164" fontId="0" fillId="5" borderId="40" xfId="0" applyNumberFormat="1" applyFill="1" applyBorder="1" applyAlignment="1">
      <alignment horizontal="center" vertical="center" wrapText="1"/>
    </xf>
    <xf numFmtId="6" fontId="18" fillId="0" borderId="13" xfId="2" applyNumberFormat="1" applyFont="1" applyFill="1" applyBorder="1" applyAlignment="1">
      <alignment horizontal="center" vertical="center" wrapText="1"/>
    </xf>
    <xf numFmtId="6" fontId="18" fillId="0" borderId="29" xfId="0" applyNumberFormat="1" applyFont="1" applyBorder="1" applyAlignment="1">
      <alignment horizontal="center" vertical="center" wrapText="1"/>
    </xf>
    <xf numFmtId="164" fontId="0" fillId="5" borderId="41" xfId="0" applyNumberFormat="1" applyFill="1" applyBorder="1" applyAlignment="1">
      <alignment horizontal="center" vertical="center" wrapText="1"/>
    </xf>
    <xf numFmtId="6" fontId="0" fillId="0" borderId="13" xfId="2" applyNumberFormat="1" applyFont="1" applyFill="1" applyBorder="1" applyAlignment="1">
      <alignment horizontal="center" vertical="center" wrapText="1"/>
    </xf>
    <xf numFmtId="164" fontId="0" fillId="5" borderId="14" xfId="0" applyNumberFormat="1" applyFill="1" applyBorder="1" applyAlignment="1">
      <alignment horizontal="center" vertical="center" wrapText="1"/>
    </xf>
    <xf numFmtId="0" fontId="10" fillId="10" borderId="2" xfId="0" applyFont="1" applyFill="1" applyBorder="1" applyAlignment="1">
      <alignment horizontal="center"/>
    </xf>
    <xf numFmtId="6" fontId="0" fillId="0" borderId="0" xfId="0" applyNumberFormat="1" applyAlignment="1">
      <alignment horizontal="center"/>
    </xf>
    <xf numFmtId="0" fontId="11" fillId="11" borderId="1" xfId="0" applyFont="1" applyFill="1" applyBorder="1" applyAlignment="1">
      <alignment horizontal="center" vertical="center" wrapText="1"/>
    </xf>
    <xf numFmtId="6" fontId="10" fillId="10" borderId="1" xfId="0" applyNumberFormat="1" applyFont="1" applyFill="1" applyBorder="1" applyAlignment="1">
      <alignment vertical="center"/>
    </xf>
    <xf numFmtId="6" fontId="28" fillId="10" borderId="43" xfId="0" applyNumberFormat="1" applyFont="1" applyFill="1" applyBorder="1" applyAlignment="1">
      <alignment vertical="center"/>
    </xf>
    <xf numFmtId="6" fontId="28" fillId="10" borderId="0" xfId="0" applyNumberFormat="1" applyFont="1" applyFill="1" applyAlignment="1">
      <alignment vertical="center"/>
    </xf>
    <xf numFmtId="0" fontId="25" fillId="0" borderId="0" xfId="0" applyFont="1"/>
    <xf numFmtId="0" fontId="0" fillId="0" borderId="1" xfId="0" applyBorder="1" applyAlignment="1">
      <alignment horizontal="left"/>
    </xf>
    <xf numFmtId="9" fontId="10" fillId="10" borderId="1" xfId="0" applyNumberFormat="1" applyFont="1" applyFill="1" applyBorder="1" applyAlignment="1">
      <alignment horizontal="center" vertical="center"/>
    </xf>
    <xf numFmtId="9" fontId="10" fillId="10" borderId="4" xfId="0" applyNumberFormat="1" applyFont="1" applyFill="1" applyBorder="1" applyAlignment="1">
      <alignment horizontal="center" vertical="center"/>
    </xf>
    <xf numFmtId="0" fontId="22" fillId="0" borderId="1" xfId="0" applyFont="1" applyBorder="1" applyAlignment="1">
      <alignment horizontal="center" vertical="center" wrapText="1"/>
    </xf>
    <xf numFmtId="164" fontId="22" fillId="0" borderId="1" xfId="0" applyNumberFormat="1" applyFont="1" applyBorder="1" applyAlignment="1">
      <alignment horizontal="center" vertical="center" wrapText="1"/>
    </xf>
    <xf numFmtId="14" fontId="22" fillId="0" borderId="1" xfId="0" applyNumberFormat="1" applyFont="1" applyBorder="1" applyAlignment="1">
      <alignment horizontal="center" vertical="center" wrapText="1"/>
    </xf>
    <xf numFmtId="49" fontId="22" fillId="0" borderId="1" xfId="0" applyNumberFormat="1" applyFont="1" applyBorder="1" applyAlignment="1">
      <alignment horizontal="center" vertical="center" wrapText="1"/>
    </xf>
    <xf numFmtId="14" fontId="22" fillId="0" borderId="1" xfId="0" applyNumberFormat="1" applyFont="1" applyBorder="1" applyAlignment="1">
      <alignment horizontal="center" vertical="center"/>
    </xf>
    <xf numFmtId="0" fontId="21" fillId="0" borderId="1" xfId="0" applyFont="1" applyBorder="1" applyAlignment="1">
      <alignment horizontal="center" vertical="center" wrapText="1"/>
    </xf>
    <xf numFmtId="49" fontId="21" fillId="0" borderId="1" xfId="0" applyNumberFormat="1" applyFont="1" applyBorder="1" applyAlignment="1">
      <alignment horizontal="center" vertical="center" wrapText="1"/>
    </xf>
    <xf numFmtId="14" fontId="23" fillId="0" borderId="1" xfId="0" applyNumberFormat="1" applyFont="1" applyBorder="1" applyAlignment="1">
      <alignment horizontal="center" vertical="center" wrapText="1"/>
    </xf>
    <xf numFmtId="0" fontId="23" fillId="0" borderId="1" xfId="0" applyFont="1" applyBorder="1" applyAlignment="1">
      <alignment horizontal="center" vertical="center" wrapText="1"/>
    </xf>
    <xf numFmtId="6" fontId="23" fillId="0" borderId="1" xfId="0" applyNumberFormat="1" applyFont="1" applyBorder="1" applyAlignment="1">
      <alignment horizontal="center" vertical="center" wrapText="1"/>
    </xf>
    <xf numFmtId="14" fontId="22" fillId="0" borderId="42" xfId="0" applyNumberFormat="1" applyFont="1" applyBorder="1" applyAlignment="1">
      <alignment horizontal="center" vertical="center" wrapText="1"/>
    </xf>
    <xf numFmtId="14" fontId="23" fillId="0" borderId="36" xfId="0" applyNumberFormat="1" applyFont="1" applyBorder="1" applyAlignment="1">
      <alignment horizontal="center" vertical="center" wrapText="1"/>
    </xf>
    <xf numFmtId="0" fontId="20" fillId="0" borderId="1" xfId="0" applyFont="1" applyBorder="1" applyAlignment="1">
      <alignment horizontal="center" vertical="center" wrapText="1"/>
    </xf>
    <xf numFmtId="14" fontId="20" fillId="0" borderId="1" xfId="0" applyNumberFormat="1" applyFont="1" applyBorder="1" applyAlignment="1">
      <alignment horizontal="center" vertical="center" wrapText="1"/>
    </xf>
    <xf numFmtId="0" fontId="20" fillId="0" borderId="2" xfId="0" applyFont="1" applyBorder="1" applyAlignment="1">
      <alignment horizontal="center" vertical="center" wrapText="1"/>
    </xf>
    <xf numFmtId="6" fontId="20" fillId="0" borderId="1" xfId="0" applyNumberFormat="1" applyFont="1" applyBorder="1" applyAlignment="1">
      <alignment horizontal="center" vertical="center" wrapText="1"/>
    </xf>
    <xf numFmtId="0" fontId="20" fillId="0" borderId="1" xfId="0" applyFont="1" applyBorder="1" applyAlignment="1">
      <alignment horizontal="center" vertical="center"/>
    </xf>
    <xf numFmtId="14"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49" fontId="7"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14" fontId="7" fillId="0" borderId="1" xfId="0" applyNumberFormat="1" applyFont="1" applyBorder="1" applyAlignment="1">
      <alignment horizontal="center" vertical="center"/>
    </xf>
    <xf numFmtId="0" fontId="7" fillId="0" borderId="1" xfId="0" applyFont="1" applyBorder="1" applyAlignment="1">
      <alignment horizontal="center" vertical="center"/>
    </xf>
    <xf numFmtId="14" fontId="22" fillId="0" borderId="34" xfId="0" applyNumberFormat="1" applyFont="1" applyBorder="1" applyAlignment="1">
      <alignment horizontal="center" vertical="center"/>
    </xf>
    <xf numFmtId="6" fontId="29" fillId="0" borderId="2" xfId="0" applyNumberFormat="1" applyFont="1" applyBorder="1" applyAlignment="1">
      <alignment horizontal="center" vertical="center" wrapText="1"/>
    </xf>
    <xf numFmtId="14" fontId="19"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49" fontId="19" fillId="0" borderId="1" xfId="0" applyNumberFormat="1" applyFont="1" applyBorder="1" applyAlignment="1">
      <alignment horizontal="center" vertical="center" wrapText="1"/>
    </xf>
    <xf numFmtId="164" fontId="19" fillId="0" borderId="1" xfId="0" applyNumberFormat="1" applyFont="1" applyBorder="1" applyAlignment="1">
      <alignment horizontal="center" vertical="center" wrapText="1"/>
    </xf>
    <xf numFmtId="164" fontId="21" fillId="0" borderId="1" xfId="0" applyNumberFormat="1" applyFont="1" applyBorder="1" applyAlignment="1">
      <alignment horizontal="center" vertical="center" wrapText="1"/>
    </xf>
    <xf numFmtId="14" fontId="21" fillId="0" borderId="1" xfId="0" applyNumberFormat="1" applyFont="1" applyBorder="1" applyAlignment="1">
      <alignment horizontal="center" vertical="center" wrapText="1"/>
    </xf>
    <xf numFmtId="0" fontId="23" fillId="0" borderId="36" xfId="0" applyFont="1" applyBorder="1" applyAlignment="1">
      <alignment horizontal="center" vertical="center" wrapText="1"/>
    </xf>
    <xf numFmtId="0" fontId="22" fillId="0" borderId="1" xfId="0" applyFont="1" applyBorder="1" applyAlignment="1">
      <alignment horizontal="center" vertical="center"/>
    </xf>
    <xf numFmtId="14" fontId="7" fillId="0" borderId="3" xfId="0" applyNumberFormat="1" applyFont="1" applyBorder="1" applyAlignment="1">
      <alignment horizontal="center" vertical="center" wrapText="1"/>
    </xf>
    <xf numFmtId="0" fontId="30" fillId="0" borderId="1" xfId="0" applyFont="1" applyBorder="1" applyAlignment="1">
      <alignment horizontal="center" vertical="center" wrapText="1"/>
    </xf>
    <xf numFmtId="0" fontId="22" fillId="0" borderId="0" xfId="0" applyFont="1" applyAlignment="1">
      <alignment horizontal="center" vertical="center" wrapText="1"/>
    </xf>
    <xf numFmtId="6" fontId="7" fillId="0" borderId="1" xfId="0" applyNumberFormat="1" applyFont="1" applyBorder="1" applyAlignment="1">
      <alignment horizontal="center" vertical="center" wrapText="1"/>
    </xf>
    <xf numFmtId="166" fontId="21" fillId="0" borderId="1" xfId="0" applyNumberFormat="1" applyFont="1" applyBorder="1" applyAlignment="1">
      <alignment horizontal="center" vertical="center" wrapText="1"/>
    </xf>
    <xf numFmtId="0" fontId="13" fillId="0" borderId="46" xfId="0" applyFont="1" applyBorder="1" applyAlignment="1">
      <alignment horizontal="center"/>
    </xf>
    <xf numFmtId="0" fontId="10" fillId="10" borderId="46" xfId="0" applyFont="1" applyFill="1" applyBorder="1" applyAlignment="1">
      <alignment horizontal="center"/>
    </xf>
    <xf numFmtId="0" fontId="13" fillId="0" borderId="47" xfId="0" applyFont="1" applyBorder="1" applyAlignment="1">
      <alignment horizontal="center"/>
    </xf>
    <xf numFmtId="0" fontId="13" fillId="0" borderId="48" xfId="0" applyFont="1" applyBorder="1" applyAlignment="1">
      <alignment horizontal="center"/>
    </xf>
    <xf numFmtId="0" fontId="13" fillId="0" borderId="32" xfId="0" applyFont="1" applyBorder="1" applyAlignment="1">
      <alignment horizontal="center"/>
    </xf>
    <xf numFmtId="9" fontId="0" fillId="4" borderId="1" xfId="0" applyNumberFormat="1" applyFill="1" applyBorder="1" applyAlignment="1">
      <alignment horizontal="center"/>
    </xf>
    <xf numFmtId="9" fontId="0" fillId="4" borderId="4" xfId="0" applyNumberFormat="1" applyFill="1" applyBorder="1" applyAlignment="1">
      <alignment horizontal="center"/>
    </xf>
    <xf numFmtId="6" fontId="13" fillId="0" borderId="12" xfId="0" applyNumberFormat="1" applyFont="1" applyBorder="1" applyAlignment="1">
      <alignment horizontal="center"/>
    </xf>
    <xf numFmtId="0" fontId="13" fillId="0" borderId="27" xfId="0" applyFont="1" applyBorder="1"/>
    <xf numFmtId="6" fontId="13" fillId="0" borderId="31" xfId="0" applyNumberFormat="1" applyFont="1" applyBorder="1"/>
    <xf numFmtId="6" fontId="13" fillId="0" borderId="28" xfId="0" applyNumberFormat="1" applyFont="1" applyBorder="1"/>
    <xf numFmtId="0" fontId="0" fillId="4" borderId="27" xfId="0" applyFill="1" applyBorder="1" applyAlignment="1">
      <alignment horizontal="center"/>
    </xf>
    <xf numFmtId="0" fontId="0" fillId="4" borderId="31" xfId="0" applyFill="1" applyBorder="1" applyAlignment="1">
      <alignment horizontal="center"/>
    </xf>
    <xf numFmtId="164" fontId="0" fillId="4" borderId="8" xfId="0" applyNumberFormat="1" applyFill="1" applyBorder="1" applyAlignment="1">
      <alignment horizontal="center"/>
    </xf>
    <xf numFmtId="164" fontId="0" fillId="4" borderId="10" xfId="0" applyNumberFormat="1" applyFill="1" applyBorder="1" applyAlignment="1">
      <alignment horizontal="center"/>
    </xf>
    <xf numFmtId="164" fontId="0" fillId="4" borderId="6" xfId="0" applyNumberFormat="1" applyFill="1" applyBorder="1" applyAlignment="1">
      <alignment horizontal="center"/>
    </xf>
    <xf numFmtId="0" fontId="9" fillId="7" borderId="5" xfId="0" applyFont="1" applyFill="1" applyBorder="1" applyAlignment="1">
      <alignment horizontal="center" vertical="center"/>
    </xf>
    <xf numFmtId="0" fontId="9" fillId="7" borderId="39" xfId="0" applyFont="1" applyFill="1" applyBorder="1" applyAlignment="1">
      <alignment horizontal="center" vertical="center"/>
    </xf>
    <xf numFmtId="0" fontId="9" fillId="7" borderId="9" xfId="0" applyFont="1" applyFill="1" applyBorder="1" applyAlignment="1">
      <alignment horizontal="center" vertical="center"/>
    </xf>
    <xf numFmtId="6" fontId="14" fillId="8" borderId="7" xfId="0" applyNumberFormat="1" applyFont="1" applyFill="1" applyBorder="1" applyAlignment="1">
      <alignment horizontal="center"/>
    </xf>
    <xf numFmtId="6" fontId="14" fillId="8" borderId="37" xfId="0" applyNumberFormat="1" applyFont="1" applyFill="1" applyBorder="1" applyAlignment="1">
      <alignment horizontal="center"/>
    </xf>
    <xf numFmtId="6" fontId="13" fillId="0" borderId="1" xfId="0" applyNumberFormat="1" applyFont="1" applyBorder="1" applyAlignment="1">
      <alignment horizontal="center"/>
    </xf>
    <xf numFmtId="6" fontId="13" fillId="0" borderId="4" xfId="0" applyNumberFormat="1" applyFont="1" applyBorder="1" applyAlignment="1">
      <alignment horizontal="center"/>
    </xf>
    <xf numFmtId="9" fontId="13" fillId="0" borderId="18" xfId="0" applyNumberFormat="1" applyFont="1" applyBorder="1" applyAlignment="1">
      <alignment horizontal="center"/>
    </xf>
    <xf numFmtId="9" fontId="13" fillId="0" borderId="14" xfId="0" applyNumberFormat="1" applyFont="1" applyBorder="1" applyAlignment="1">
      <alignment horizontal="center"/>
    </xf>
    <xf numFmtId="6" fontId="10" fillId="10" borderId="8" xfId="0" applyNumberFormat="1" applyFont="1" applyFill="1" applyBorder="1" applyAlignment="1">
      <alignment horizontal="center" vertical="center"/>
    </xf>
    <xf numFmtId="6" fontId="10" fillId="10" borderId="10" xfId="0" applyNumberFormat="1" applyFont="1" applyFill="1" applyBorder="1" applyAlignment="1">
      <alignment horizontal="center" vertical="center"/>
    </xf>
    <xf numFmtId="6" fontId="10" fillId="10" borderId="6" xfId="0" applyNumberFormat="1" applyFont="1" applyFill="1" applyBorder="1" applyAlignment="1">
      <alignment horizontal="center" vertical="center"/>
    </xf>
    <xf numFmtId="0" fontId="27" fillId="0" borderId="0" xfId="0" applyFont="1" applyAlignment="1">
      <alignment horizontal="left"/>
    </xf>
    <xf numFmtId="6" fontId="10" fillId="10" borderId="7" xfId="0" applyNumberFormat="1" applyFont="1" applyFill="1" applyBorder="1" applyAlignment="1">
      <alignment horizontal="center" vertical="center"/>
    </xf>
    <xf numFmtId="6" fontId="10" fillId="10" borderId="37" xfId="0" applyNumberFormat="1" applyFont="1" applyFill="1" applyBorder="1" applyAlignment="1">
      <alignment horizontal="center" vertical="center"/>
    </xf>
    <xf numFmtId="6" fontId="10" fillId="10" borderId="22" xfId="0" applyNumberFormat="1" applyFont="1" applyFill="1" applyBorder="1" applyAlignment="1">
      <alignment horizontal="center" vertical="center"/>
    </xf>
    <xf numFmtId="6" fontId="10" fillId="10" borderId="12" xfId="0" applyNumberFormat="1" applyFont="1" applyFill="1" applyBorder="1" applyAlignment="1">
      <alignment horizontal="center" vertical="center"/>
    </xf>
    <xf numFmtId="0" fontId="11" fillId="11" borderId="11"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11" fillId="11" borderId="13" xfId="0" applyFont="1" applyFill="1" applyBorder="1" applyAlignment="1">
      <alignment horizontal="center" vertical="center" wrapText="1"/>
    </xf>
    <xf numFmtId="0" fontId="11" fillId="11" borderId="16" xfId="0" applyFont="1" applyFill="1" applyBorder="1" applyAlignment="1">
      <alignment horizontal="center" vertical="center" wrapText="1"/>
    </xf>
    <xf numFmtId="0" fontId="11" fillId="11" borderId="17" xfId="0" applyFont="1" applyFill="1" applyBorder="1" applyAlignment="1">
      <alignment horizontal="center" vertical="center" wrapText="1"/>
    </xf>
    <xf numFmtId="9" fontId="13" fillId="0" borderId="1" xfId="0" applyNumberFormat="1" applyFont="1" applyBorder="1" applyAlignment="1">
      <alignment horizontal="center"/>
    </xf>
    <xf numFmtId="0" fontId="11" fillId="11" borderId="49" xfId="0" applyFont="1" applyFill="1" applyBorder="1" applyAlignment="1">
      <alignment horizontal="center" vertical="center" wrapText="1"/>
    </xf>
    <xf numFmtId="0" fontId="11" fillId="11" borderId="50" xfId="0" applyFont="1" applyFill="1" applyBorder="1" applyAlignment="1">
      <alignment horizontal="center" vertical="center" wrapText="1"/>
    </xf>
    <xf numFmtId="0" fontId="11" fillId="11" borderId="51" xfId="0" applyFont="1" applyFill="1" applyBorder="1" applyAlignment="1">
      <alignment horizontal="center" vertical="center" wrapText="1"/>
    </xf>
    <xf numFmtId="0" fontId="25" fillId="0" borderId="0" xfId="0" applyFont="1" applyAlignment="1">
      <alignment horizontal="left"/>
    </xf>
    <xf numFmtId="9" fontId="13" fillId="0" borderId="4" xfId="0" applyNumberFormat="1" applyFont="1" applyBorder="1" applyAlignment="1">
      <alignment horizontal="center"/>
    </xf>
    <xf numFmtId="6" fontId="13" fillId="0" borderId="18" xfId="0" applyNumberFormat="1" applyFont="1" applyBorder="1" applyAlignment="1">
      <alignment horizontal="center"/>
    </xf>
    <xf numFmtId="6" fontId="13" fillId="0" borderId="14" xfId="0" applyNumberFormat="1" applyFont="1" applyBorder="1" applyAlignment="1">
      <alignment horizontal="center"/>
    </xf>
    <xf numFmtId="0" fontId="26" fillId="11" borderId="44" xfId="0" applyFont="1" applyFill="1" applyBorder="1" applyAlignment="1">
      <alignment horizontal="center" vertical="center" wrapText="1"/>
    </xf>
    <xf numFmtId="0" fontId="26" fillId="11" borderId="45" xfId="0" applyFont="1" applyFill="1" applyBorder="1" applyAlignment="1">
      <alignment horizontal="center" vertical="center" wrapText="1"/>
    </xf>
    <xf numFmtId="0" fontId="24" fillId="4" borderId="0" xfId="0" applyFont="1" applyFill="1" applyAlignment="1">
      <alignment horizontal="center" vertical="center"/>
    </xf>
    <xf numFmtId="6" fontId="28" fillId="10" borderId="43" xfId="0" applyNumberFormat="1" applyFont="1" applyFill="1" applyBorder="1" applyAlignment="1">
      <alignment horizontal="left" vertical="center"/>
    </xf>
    <xf numFmtId="6" fontId="28" fillId="10" borderId="0" xfId="0" applyNumberFormat="1" applyFont="1" applyFill="1" applyAlignment="1">
      <alignment horizontal="left" vertical="center"/>
    </xf>
  </cellXfs>
  <cellStyles count="3">
    <cellStyle name="Hyperlink" xfId="1" builtinId="8"/>
    <cellStyle name="Normal" xfId="0" builtinId="0"/>
    <cellStyle name="Percent" xfId="2" builtinId="5"/>
  </cellStyles>
  <dxfs count="154">
    <dxf>
      <font>
        <color rgb="FFFF0000"/>
      </font>
      <fill>
        <patternFill>
          <bgColor theme="2"/>
        </patternFill>
      </fill>
    </dxf>
    <dxf>
      <font>
        <color rgb="FFFF0000"/>
      </font>
      <fill>
        <patternFill>
          <bgColor theme="2"/>
        </patternFill>
      </fill>
    </dxf>
    <dxf>
      <fill>
        <patternFill>
          <bgColor rgb="FFFFFF00"/>
        </patternFill>
      </fill>
    </dxf>
    <dxf>
      <fill>
        <patternFill>
          <bgColor rgb="FFFFFF00"/>
        </patternFill>
      </fill>
    </dxf>
    <dxf>
      <fill>
        <patternFill>
          <bgColor theme="0" tint="-0.14996795556505021"/>
        </patternFill>
      </fill>
    </dxf>
    <dxf>
      <font>
        <color auto="1"/>
      </font>
      <fill>
        <patternFill>
          <bgColor rgb="FFFFFF00"/>
        </patternFill>
      </fill>
    </dxf>
    <dxf>
      <font>
        <color rgb="FFFF0000"/>
      </font>
      <fill>
        <patternFill>
          <bgColor theme="2"/>
        </patternFill>
      </fill>
    </dxf>
    <dxf>
      <font>
        <color rgb="FFFF0000"/>
      </font>
      <fill>
        <patternFill>
          <bgColor theme="2"/>
        </patternFill>
      </fill>
    </dxf>
    <dxf>
      <font>
        <color rgb="FFFF0000"/>
      </font>
      <fill>
        <patternFill>
          <bgColor theme="2"/>
        </patternFill>
      </fill>
    </dxf>
    <dxf>
      <fill>
        <patternFill>
          <bgColor rgb="FFFFFF00"/>
        </patternFill>
      </fill>
    </dxf>
    <dxf>
      <font>
        <color auto="1"/>
      </font>
      <fill>
        <patternFill>
          <bgColor rgb="FFFFFF00"/>
        </patternFill>
      </fill>
    </dxf>
    <dxf>
      <fill>
        <patternFill>
          <bgColor rgb="FFFFFF00"/>
        </patternFill>
      </fill>
    </dxf>
    <dxf>
      <numFmt numFmtId="13" formatCode="0%"/>
    </dxf>
    <dxf>
      <fill>
        <patternFill>
          <bgColor theme="9" tint="0.79998168889431442"/>
        </patternFill>
      </fill>
    </dxf>
    <dxf>
      <fill>
        <patternFill>
          <bgColor theme="9" tint="0.79998168889431442"/>
        </patternFill>
      </fill>
    </dxf>
    <dxf>
      <numFmt numFmtId="13" formatCode="0%"/>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rgb="FFFFFF00"/>
        </patternFill>
      </fill>
    </dxf>
    <dxf>
      <fill>
        <patternFill>
          <bgColor rgb="FFFFFF00"/>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rgb="FFFFFF00"/>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rgb="FFFFFF00"/>
        </patternFill>
      </fill>
    </dxf>
    <dxf>
      <fill>
        <patternFill>
          <bgColor rgb="FFFFFF00"/>
        </patternFill>
      </fill>
    </dxf>
    <dxf>
      <fill>
        <patternFill>
          <bgColor rgb="FFFFFF00"/>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rgb="FFFFFF00"/>
        </patternFill>
      </fill>
    </dxf>
    <dxf>
      <fill>
        <patternFill>
          <bgColor rgb="FFFFFF00"/>
        </patternFill>
      </fill>
    </dxf>
    <dxf>
      <fill>
        <patternFill>
          <bgColor rgb="FFFFFF00"/>
        </patternFill>
      </fill>
    </dxf>
    <dxf>
      <fill>
        <patternFill>
          <bgColor theme="9" tint="0.79998168889431442"/>
        </patternFill>
      </fill>
      <border>
        <left style="thin">
          <color auto="1"/>
        </left>
        <right style="thin">
          <color auto="1"/>
        </right>
        <top style="thin">
          <color auto="1"/>
        </top>
        <bottom style="thin">
          <color auto="1"/>
        </bottom>
        <vertical/>
        <horizontal/>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strike val="0"/>
        <condense val="0"/>
        <extend val="0"/>
        <outline val="0"/>
        <shadow val="0"/>
        <u val="none"/>
        <vertAlign val="baseline"/>
        <sz val="11"/>
        <color theme="1"/>
        <name val="Calibri"/>
        <family val="2"/>
        <scheme val="minor"/>
      </font>
      <numFmt numFmtId="164" formatCode="&quot;$&quot;#,##0"/>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0" formatCode="&quot;$&quot;#,##0_);[Red]\(&quot;$&quot;#,##0\)"/>
      <fill>
        <patternFill patternType="none">
          <fgColor indexed="64"/>
          <bgColor indexed="65"/>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4" formatCode="&quot;$&quot;#,##0"/>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font>
        <b/>
        <i val="0"/>
        <strike val="0"/>
        <condense val="0"/>
        <extend val="0"/>
        <outline val="0"/>
        <shadow val="0"/>
        <u val="none"/>
        <vertAlign val="baseline"/>
        <sz val="11"/>
        <color rgb="FFFF0000"/>
        <name val="Calibri"/>
        <family val="2"/>
        <scheme val="minor"/>
      </font>
      <numFmt numFmtId="10" formatCode="&quot;$&quot;#,##0_);[Red]\(&quot;$&quot;#,##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1"/>
        <color rgb="FFFF0000"/>
        <name val="Calibri"/>
        <family val="2"/>
        <scheme val="minor"/>
      </font>
      <numFmt numFmtId="10" formatCode="&quot;$&quot;#,##0_);[Red]\(&quot;$&quot;#,##0\)"/>
      <fill>
        <patternFill patternType="none">
          <fgColor indexed="64"/>
          <bgColor indexed="65"/>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family val="2"/>
        <scheme val="none"/>
      </font>
      <numFmt numFmtId="164" formatCode="&quot;$&quot;#,##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quot;$&quot;#,##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4" formatCode="&quot;$&quot;#,##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0" formatCode="&quot;$&quot;#,##0_);[Red]\(&quot;$&quot;#,##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9" formatCode="m/d/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9" formatCode="m/d/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border outline="0">
        <right style="thin">
          <color indexed="64"/>
        </right>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rder>
    </dxf>
    <dxf>
      <font>
        <strike val="0"/>
        <outline val="0"/>
        <shadow val="0"/>
        <u val="none"/>
        <vertAlign val="baseline"/>
        <sz val="11"/>
        <name val="Calibri"/>
        <family val="2"/>
        <scheme val="minor"/>
      </font>
    </dxf>
    <dxf>
      <border>
        <bottom style="thin">
          <color indexed="64"/>
        </bottom>
      </border>
    </dxf>
    <dxf>
      <font>
        <b val="0"/>
        <i val="0"/>
        <strike val="0"/>
        <condense val="0"/>
        <extend val="0"/>
        <outline val="0"/>
        <shadow val="0"/>
        <u val="none"/>
        <vertAlign val="baseline"/>
        <sz val="11"/>
        <color rgb="FFFFFFFF"/>
        <name val="Calibri"/>
        <family val="2"/>
        <scheme val="minor"/>
      </font>
      <fill>
        <patternFill patternType="solid">
          <fgColor indexed="64"/>
          <bgColor rgb="FF00557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E8E8E8"/>
      <color rgb="FF06909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absolute">
    <xdr:from>
      <xdr:col>0</xdr:col>
      <xdr:colOff>1</xdr:colOff>
      <xdr:row>0</xdr:row>
      <xdr:rowOff>1</xdr:rowOff>
    </xdr:from>
    <xdr:to>
      <xdr:col>1</xdr:col>
      <xdr:colOff>263770</xdr:colOff>
      <xdr:row>3</xdr:row>
      <xdr:rowOff>132748</xdr:rowOff>
    </xdr:to>
    <mc:AlternateContent xmlns:mc="http://schemas.openxmlformats.org/markup-compatibility/2006" xmlns:sle15="http://schemas.microsoft.com/office/drawing/2012/slicer">
      <mc:Choice Requires="sle15">
        <xdr:graphicFrame macro="">
          <xdr:nvGraphicFramePr>
            <xdr:cNvPr id="2" name="Policy Period">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Policy Period"/>
            </a:graphicData>
          </a:graphic>
        </xdr:graphicFrame>
      </mc:Choice>
      <mc:Fallback xmlns="">
        <xdr:sp macro="" textlink="">
          <xdr:nvSpPr>
            <xdr:cNvPr id="0" name=""/>
            <xdr:cNvSpPr>
              <a:spLocks noTextEdit="1"/>
            </xdr:cNvSpPr>
          </xdr:nvSpPr>
          <xdr:spPr>
            <a:xfrm>
              <a:off x="0" y="0"/>
              <a:ext cx="1496625" cy="216329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333375</xdr:colOff>
      <xdr:row>0</xdr:row>
      <xdr:rowOff>1</xdr:rowOff>
    </xdr:from>
    <xdr:to>
      <xdr:col>2</xdr:col>
      <xdr:colOff>696058</xdr:colOff>
      <xdr:row>3</xdr:row>
      <xdr:rowOff>132748</xdr:rowOff>
    </xdr:to>
    <mc:AlternateContent xmlns:mc="http://schemas.openxmlformats.org/markup-compatibility/2006" xmlns:sle15="http://schemas.microsoft.com/office/drawing/2012/slicer">
      <mc:Choice Requires="sle15">
        <xdr:graphicFrame macro="">
          <xdr:nvGraphicFramePr>
            <xdr:cNvPr id="3" name="Status ">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Status "/>
            </a:graphicData>
          </a:graphic>
        </xdr:graphicFrame>
      </mc:Choice>
      <mc:Fallback xmlns="">
        <xdr:sp macro="" textlink="">
          <xdr:nvSpPr>
            <xdr:cNvPr id="0" name=""/>
            <xdr:cNvSpPr>
              <a:spLocks noTextEdit="1"/>
            </xdr:cNvSpPr>
          </xdr:nvSpPr>
          <xdr:spPr>
            <a:xfrm>
              <a:off x="1566022" y="1"/>
              <a:ext cx="1495985" cy="215377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icy_Period" xr10:uid="{E8BB7B8B-3DA5-4847-ACEA-3373A115F0A2}" sourceName="Policy Period">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F9CE585-E82C-47FA-B893-5AAB28895313}" sourceName="Status ">
  <extLst>
    <x:ext xmlns:x15="http://schemas.microsoft.com/office/spreadsheetml/2010/11/main" uri="{2F2917AC-EB37-4324-AD4E-5DD8C200BD13}">
      <x15:tableSlicerCache tableId="1"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icy Period" xr10:uid="{10255888-F5E0-4DB4-ACEA-5A7B148969BC}" cache="Slicer_Policy_Period" caption="Policy Period" rowHeight="241300"/>
  <slicer name="Status " xr10:uid="{6B8A7E9F-4A3B-4341-9770-EE248F154942}" cache="Slicer_Status" caption="Status "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BAC53C-0A04-4ED4-8056-9D7836E11970}" name="Table1" displayName="Table1" ref="A16:W114" totalsRowShown="0" headerRowDxfId="153" dataDxfId="151" headerRowBorderDxfId="152" tableBorderDxfId="150" totalsRowBorderDxfId="149">
  <autoFilter ref="A16:W114" xr:uid="{6B8A18A9-5E0C-41C4-AEF9-B443119EC6E8}"/>
  <sortState xmlns:xlrd2="http://schemas.microsoft.com/office/spreadsheetml/2017/richdata2" ref="A33:W35">
    <sortCondition ref="E16:E35"/>
  </sortState>
  <tableColumns count="23">
    <tableColumn id="1" xr3:uid="{EBD06BA1-18DA-4237-8079-F29FF6BC6604}" name="Policy Period" dataDxfId="148"/>
    <tableColumn id="3" xr3:uid="{60AA789D-A2E9-4F1B-B06B-6FD66644CFB3}" name="Current Ownership Or Prior Ownership Loss Run" dataDxfId="147"/>
    <tableColumn id="2" xr3:uid="{21AADB5B-87C0-476B-9F2C-8D2D796D09C7}" name="Carrier" dataDxfId="146"/>
    <tableColumn id="4" xr3:uid="{615505DA-98C0-42AE-9CA2-42C118C6E95F}" name="Claim Number" dataDxfId="145"/>
    <tableColumn id="5" xr3:uid="{637782C2-9847-408B-9095-F21BA118668D}" name="Date of Loss" dataDxfId="144"/>
    <tableColumn id="6" xr3:uid="{F9BB8F3F-5F9D-4A16-9945-F619B3B3E975}" name="Loss Location" dataDxfId="143"/>
    <tableColumn id="7" xr3:uid="{E32FA62C-19C8-4050-83A0-958FF92C07E2}" name="City" dataDxfId="142"/>
    <tableColumn id="8" xr3:uid="{B5832BFF-902E-4582-8EF2-2E9F7436F8F9}" name="State" dataDxfId="141"/>
    <tableColumn id="9" xr3:uid="{09CA6333-19CE-4343-ADFA-157B5A7A2A25}" name="Ownership Status" dataDxfId="140"/>
    <tableColumn id="10" xr3:uid="{BCEE5A2F-688A-4E70-8309-1AFDBA22FCC9}" name="Loss Description " dataDxfId="139"/>
    <tableColumn id="11" xr3:uid="{507C9D5F-C59E-4B76-851C-21CFC18F95DE}" name="Loss Classification" dataDxfId="138"/>
    <tableColumn id="12" xr3:uid="{6EA47B45-685D-47D2-8D21-10909DA5F81B}" name="Loss Sub-Classification" dataDxfId="137"/>
    <tableColumn id="13" xr3:uid="{1932AB70-A22B-4F7A-B5D4-3366D92DC83B}" name="LR Valuation Date" dataDxfId="136"/>
    <tableColumn id="35" xr3:uid="{98C93EAC-D68C-4343-9046-50E0D99E979B}" name="DBB Claim Total" dataDxfId="135"/>
    <tableColumn id="17" xr3:uid="{4A204AA8-518C-49CD-9C33-784E46FD5B07}" name="Paid Total" dataDxfId="134"/>
    <tableColumn id="20" xr3:uid="{665D7751-74FC-410F-939C-59E7CFAFF11C}" name="Reserve Total" dataDxfId="133"/>
    <tableColumn id="21" xr3:uid="{53407F3D-6E84-4C98-AD72-BD2A8FD4E67B}" name="Claim Total" dataDxfId="132">
      <calculatedColumnFormula>SUM(Table1[[#This Row],[DBB Claim Total]:[Reserve Total]])</calculatedColumnFormula>
    </tableColumn>
    <tableColumn id="22" xr3:uid="{12A64C98-F308-4AD4-8F4F-420780A00797}" name="Status " dataDxfId="131"/>
    <tableColumn id="18" xr3:uid="{9C953508-2075-43C2-A6B6-81D8D355F70C}" name="Policy Deductible(Current)" dataDxfId="130" dataCellStyle="Percent">
      <calculatedColumnFormula>IF(K17=$T$9,$U$9,IF(K17=$T$10,$U$10,IF(K17=$T$11,$U$11,IF(K17=$T$12,$U$12,$U$8))))</calculatedColumnFormula>
    </tableColumn>
    <tableColumn id="19" xr3:uid="{3E4E598A-6E05-4122-B0E1-53E44AC7138E}" name="TIV (if % Deductible)" dataDxfId="129"/>
    <tableColumn id="23" xr3:uid="{75042C6F-31CD-42ED-B6AC-CF658E267AF9}" name="Paid Deductible (Current)" dataDxfId="128">
      <calculatedColumnFormula>IF(Q17&lt;(IF(ISBLANK(T17),S17,S17*T17)),0,Q17-(IF(ISBLANK(T17),S17,S17*T17)))</calculatedColumnFormula>
    </tableColumn>
    <tableColumn id="26" xr3:uid="{E57A11C2-8E60-49B9-BF36-C867DA947351}" name="Policy Deductible (Other)" dataDxfId="127" dataCellStyle="Percent">
      <calculatedColumnFormula>IF(K17=$T$9,$W$9,IF(K17=$T$10,$W$10,IF(K17=$T$11,$W$11,IF(K17=$T$12,$W$12,$W$8))))</calculatedColumnFormula>
    </tableColumn>
    <tableColumn id="24" xr3:uid="{03963C6F-5E80-42EA-A865-8FD27894E06D}" name="Paid Deductible (Other)" dataDxfId="126">
      <calculatedColumnFormula>IF(Q17&lt;(IF(ISBLANK(T17),V17,V17*T17)),0,Q17-(IF(ISBLANK(T17),V17,V17*T17)))</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2875-7D66-4069-B223-9ADB6578F233}">
  <dimension ref="A3:S22"/>
  <sheetViews>
    <sheetView zoomScale="160" zoomScaleNormal="160" workbookViewId="0">
      <selection activeCell="B5" sqref="B5"/>
    </sheetView>
  </sheetViews>
  <sheetFormatPr defaultRowHeight="15"/>
  <cols>
    <col min="1" max="1" width="25.28515625" style="7" customWidth="1"/>
    <col min="2" max="3" width="16.7109375" style="7" customWidth="1"/>
    <col min="4" max="4" width="18.7109375" style="7" customWidth="1"/>
    <col min="5" max="5" width="16.7109375" style="7" customWidth="1"/>
    <col min="6" max="19" width="13.7109375" style="7" customWidth="1"/>
  </cols>
  <sheetData>
    <row r="3" spans="1:19" ht="15.75" thickBot="1">
      <c r="F3" s="225" t="s">
        <v>84</v>
      </c>
      <c r="G3" s="226"/>
      <c r="H3" s="226"/>
      <c r="I3" s="226"/>
      <c r="J3" s="226"/>
      <c r="K3" s="226"/>
      <c r="L3" s="226"/>
      <c r="M3" s="226"/>
      <c r="N3" s="226"/>
      <c r="O3" s="226"/>
      <c r="P3" s="226"/>
      <c r="Q3" s="226"/>
      <c r="R3" s="226"/>
      <c r="S3" s="226"/>
    </row>
    <row r="4" spans="1:19">
      <c r="A4" s="26" t="s">
        <v>19</v>
      </c>
      <c r="B4" s="27" t="s">
        <v>73</v>
      </c>
      <c r="C4" s="27" t="s">
        <v>74</v>
      </c>
      <c r="D4" s="28" t="s">
        <v>83</v>
      </c>
      <c r="E4" s="29" t="s">
        <v>75</v>
      </c>
      <c r="F4" s="26" t="s">
        <v>16</v>
      </c>
      <c r="G4" s="27" t="s">
        <v>10</v>
      </c>
      <c r="H4" s="27" t="s">
        <v>9</v>
      </c>
      <c r="I4" s="27" t="s">
        <v>8</v>
      </c>
      <c r="J4" s="27" t="s">
        <v>7</v>
      </c>
      <c r="K4" s="27" t="s">
        <v>17</v>
      </c>
      <c r="L4" s="27" t="s">
        <v>27</v>
      </c>
      <c r="M4" s="27" t="s">
        <v>30</v>
      </c>
      <c r="N4" s="27" t="s">
        <v>31</v>
      </c>
      <c r="O4" s="27" t="s">
        <v>68</v>
      </c>
      <c r="P4" s="28" t="s">
        <v>71</v>
      </c>
      <c r="Q4" s="28" t="s">
        <v>88</v>
      </c>
      <c r="R4" s="28" t="s">
        <v>89</v>
      </c>
      <c r="S4" s="29" t="s">
        <v>90</v>
      </c>
    </row>
    <row r="5" spans="1:19">
      <c r="A5" s="22"/>
      <c r="B5" s="23"/>
      <c r="C5" s="23"/>
      <c r="D5" s="23"/>
      <c r="E5" s="24"/>
      <c r="F5" s="13"/>
      <c r="G5" s="14"/>
      <c r="H5" s="14"/>
      <c r="I5" s="14"/>
      <c r="J5" s="14"/>
      <c r="K5" s="14"/>
      <c r="L5" s="14"/>
      <c r="M5" s="14"/>
      <c r="N5" s="14"/>
      <c r="O5" s="14"/>
      <c r="P5" s="33"/>
      <c r="Q5" s="33"/>
      <c r="R5" s="33"/>
      <c r="S5" s="15"/>
    </row>
    <row r="6" spans="1:19">
      <c r="A6" s="22"/>
      <c r="B6" s="23"/>
      <c r="C6" s="23"/>
      <c r="D6" s="23"/>
      <c r="E6" s="24"/>
      <c r="F6" s="13"/>
      <c r="G6" s="14"/>
      <c r="H6" s="14"/>
      <c r="I6" s="14"/>
      <c r="J6" s="14"/>
      <c r="K6" s="14"/>
      <c r="L6" s="14"/>
      <c r="M6" s="14"/>
      <c r="N6" s="14"/>
      <c r="O6" s="14"/>
      <c r="P6" s="33"/>
      <c r="Q6" s="33"/>
      <c r="R6" s="33"/>
      <c r="S6" s="15"/>
    </row>
    <row r="7" spans="1:19">
      <c r="A7" s="22"/>
      <c r="B7" s="23"/>
      <c r="C7" s="23"/>
      <c r="D7" s="23"/>
      <c r="E7" s="24"/>
      <c r="F7" s="13"/>
      <c r="G7" s="14"/>
      <c r="H7" s="14"/>
      <c r="I7" s="14"/>
      <c r="J7" s="14"/>
      <c r="K7" s="14"/>
      <c r="L7" s="14"/>
      <c r="M7" s="14"/>
      <c r="N7" s="14"/>
      <c r="O7" s="14"/>
      <c r="P7" s="33"/>
      <c r="Q7" s="33"/>
      <c r="R7" s="33"/>
      <c r="S7" s="15"/>
    </row>
    <row r="8" spans="1:19">
      <c r="A8" s="22"/>
      <c r="B8" s="23"/>
      <c r="C8" s="23"/>
      <c r="D8" s="23"/>
      <c r="E8" s="24"/>
      <c r="F8" s="13"/>
      <c r="G8" s="14"/>
      <c r="H8" s="14"/>
      <c r="I8" s="14"/>
      <c r="J8" s="14"/>
      <c r="K8" s="14"/>
      <c r="L8" s="14"/>
      <c r="M8" s="14"/>
      <c r="N8" s="14"/>
      <c r="O8" s="14"/>
      <c r="P8" s="33"/>
      <c r="Q8" s="33"/>
      <c r="R8" s="33"/>
      <c r="S8" s="15"/>
    </row>
    <row r="9" spans="1:19">
      <c r="A9" s="22"/>
      <c r="B9" s="23"/>
      <c r="C9" s="23"/>
      <c r="D9" s="23"/>
      <c r="E9" s="24"/>
      <c r="F9" s="13"/>
      <c r="G9" s="14"/>
      <c r="H9" s="14"/>
      <c r="I9" s="14"/>
      <c r="J9" s="14"/>
      <c r="K9" s="14"/>
      <c r="L9" s="14"/>
      <c r="M9" s="14"/>
      <c r="N9" s="14"/>
      <c r="O9" s="14"/>
      <c r="P9" s="33"/>
      <c r="Q9" s="33"/>
      <c r="R9" s="33"/>
      <c r="S9" s="15"/>
    </row>
    <row r="10" spans="1:19">
      <c r="A10" s="22"/>
      <c r="B10" s="23"/>
      <c r="C10" s="23"/>
      <c r="D10" s="23"/>
      <c r="E10" s="24"/>
      <c r="F10" s="13"/>
      <c r="G10" s="14"/>
      <c r="H10" s="14"/>
      <c r="I10" s="14"/>
      <c r="J10" s="14"/>
      <c r="K10" s="14"/>
      <c r="L10" s="14"/>
      <c r="M10" s="14"/>
      <c r="N10" s="14"/>
      <c r="O10" s="14"/>
      <c r="P10" s="33"/>
      <c r="Q10" s="33"/>
      <c r="R10" s="33"/>
      <c r="S10" s="15"/>
    </row>
    <row r="11" spans="1:19">
      <c r="A11" s="22"/>
      <c r="B11" s="23"/>
      <c r="C11" s="23"/>
      <c r="D11" s="23"/>
      <c r="E11" s="24"/>
      <c r="F11" s="13"/>
      <c r="G11" s="14"/>
      <c r="H11" s="14"/>
      <c r="I11" s="14"/>
      <c r="J11" s="14"/>
      <c r="K11" s="14"/>
      <c r="L11" s="14"/>
      <c r="M11" s="14"/>
      <c r="N11" s="14"/>
      <c r="O11" s="14"/>
      <c r="P11" s="33"/>
      <c r="Q11" s="33"/>
      <c r="R11" s="33"/>
      <c r="S11" s="15"/>
    </row>
    <row r="12" spans="1:19">
      <c r="A12" s="22"/>
      <c r="B12" s="23"/>
      <c r="C12" s="23"/>
      <c r="D12" s="23"/>
      <c r="E12" s="25"/>
      <c r="F12" s="13"/>
      <c r="G12" s="14"/>
      <c r="H12" s="14"/>
      <c r="I12" s="14"/>
      <c r="J12" s="14"/>
      <c r="K12" s="14"/>
      <c r="L12" s="14"/>
      <c r="M12" s="14"/>
      <c r="N12" s="14"/>
      <c r="O12" s="14"/>
      <c r="P12" s="33"/>
      <c r="Q12" s="33"/>
      <c r="R12" s="33"/>
      <c r="S12" s="15"/>
    </row>
    <row r="13" spans="1:19">
      <c r="A13" s="22"/>
      <c r="B13" s="23"/>
      <c r="C13" s="23"/>
      <c r="D13" s="23"/>
      <c r="E13" s="25"/>
      <c r="F13" s="13"/>
      <c r="G13" s="14"/>
      <c r="H13" s="14"/>
      <c r="I13" s="14"/>
      <c r="J13" s="14"/>
      <c r="K13" s="14"/>
      <c r="L13" s="14"/>
      <c r="M13" s="14"/>
      <c r="N13" s="14"/>
      <c r="O13" s="14"/>
      <c r="P13" s="33"/>
      <c r="Q13" s="33"/>
      <c r="R13" s="33"/>
      <c r="S13" s="15"/>
    </row>
    <row r="14" spans="1:19">
      <c r="A14" s="22"/>
      <c r="B14" s="23"/>
      <c r="C14" s="23"/>
      <c r="D14" s="23"/>
      <c r="E14" s="25"/>
      <c r="F14" s="13"/>
      <c r="G14" s="14"/>
      <c r="H14" s="14"/>
      <c r="I14" s="14"/>
      <c r="J14" s="14"/>
      <c r="K14" s="14"/>
      <c r="L14" s="14"/>
      <c r="M14" s="14"/>
      <c r="N14" s="14"/>
      <c r="O14" s="14"/>
      <c r="P14" s="33"/>
      <c r="Q14" s="33"/>
      <c r="R14" s="33"/>
      <c r="S14" s="15"/>
    </row>
    <row r="15" spans="1:19">
      <c r="A15" s="22"/>
      <c r="B15" s="23"/>
      <c r="C15" s="23"/>
      <c r="D15" s="23"/>
      <c r="E15" s="25"/>
      <c r="F15" s="13"/>
      <c r="G15" s="14"/>
      <c r="H15" s="14"/>
      <c r="I15" s="14"/>
      <c r="J15" s="14"/>
      <c r="K15" s="14"/>
      <c r="L15" s="14"/>
      <c r="M15" s="14"/>
      <c r="N15" s="14"/>
      <c r="O15" s="14"/>
      <c r="P15" s="33"/>
      <c r="Q15" s="33"/>
      <c r="R15" s="33"/>
      <c r="S15" s="15"/>
    </row>
    <row r="16" spans="1:19">
      <c r="A16" s="22"/>
      <c r="B16" s="23"/>
      <c r="C16" s="23"/>
      <c r="D16" s="23"/>
      <c r="E16" s="25"/>
      <c r="F16" s="13"/>
      <c r="G16" s="14"/>
      <c r="H16" s="14"/>
      <c r="I16" s="14"/>
      <c r="J16" s="14"/>
      <c r="K16" s="14"/>
      <c r="L16" s="14"/>
      <c r="M16" s="14"/>
      <c r="N16" s="14"/>
      <c r="O16" s="14"/>
      <c r="P16" s="33"/>
      <c r="Q16" s="33"/>
      <c r="R16" s="33"/>
      <c r="S16" s="15"/>
    </row>
    <row r="17" spans="1:19">
      <c r="A17" s="22"/>
      <c r="B17" s="23"/>
      <c r="C17" s="23"/>
      <c r="D17" s="23"/>
      <c r="E17" s="25"/>
      <c r="F17" s="13"/>
      <c r="G17" s="14"/>
      <c r="H17" s="14"/>
      <c r="I17" s="14"/>
      <c r="J17" s="14"/>
      <c r="K17" s="14"/>
      <c r="L17" s="14"/>
      <c r="M17" s="14"/>
      <c r="N17" s="14"/>
      <c r="O17" s="14"/>
      <c r="P17" s="33"/>
      <c r="Q17" s="33"/>
      <c r="R17" s="33"/>
      <c r="S17" s="15"/>
    </row>
    <row r="18" spans="1:19">
      <c r="A18" s="22"/>
      <c r="B18" s="23"/>
      <c r="C18" s="23"/>
      <c r="D18" s="23"/>
      <c r="E18" s="25"/>
      <c r="F18" s="13"/>
      <c r="G18" s="14"/>
      <c r="H18" s="14"/>
      <c r="I18" s="14"/>
      <c r="J18" s="14"/>
      <c r="K18" s="14"/>
      <c r="L18" s="14"/>
      <c r="M18" s="14"/>
      <c r="N18" s="14"/>
      <c r="O18" s="14"/>
      <c r="P18" s="33"/>
      <c r="Q18" s="33"/>
      <c r="R18" s="33"/>
      <c r="S18" s="15"/>
    </row>
    <row r="19" spans="1:19">
      <c r="A19" s="22"/>
      <c r="B19" s="23"/>
      <c r="C19" s="23"/>
      <c r="D19" s="23"/>
      <c r="E19" s="25"/>
      <c r="F19" s="13"/>
      <c r="G19" s="14"/>
      <c r="H19" s="14"/>
      <c r="I19" s="14"/>
      <c r="J19" s="14"/>
      <c r="K19" s="14"/>
      <c r="L19" s="14"/>
      <c r="M19" s="14"/>
      <c r="N19" s="14"/>
      <c r="O19" s="14"/>
      <c r="P19" s="33"/>
      <c r="Q19" s="33"/>
      <c r="R19" s="33"/>
      <c r="S19" s="15"/>
    </row>
    <row r="20" spans="1:19">
      <c r="A20" s="22"/>
      <c r="B20" s="23"/>
      <c r="C20" s="23"/>
      <c r="D20" s="23"/>
      <c r="E20" s="25"/>
      <c r="F20" s="13"/>
      <c r="G20" s="14"/>
      <c r="H20" s="14"/>
      <c r="I20" s="14"/>
      <c r="J20" s="14"/>
      <c r="K20" s="14"/>
      <c r="L20" s="14"/>
      <c r="M20" s="14"/>
      <c r="N20" s="14"/>
      <c r="O20" s="14"/>
      <c r="P20" s="33"/>
      <c r="Q20" s="33"/>
      <c r="R20" s="33"/>
      <c r="S20" s="15"/>
    </row>
    <row r="21" spans="1:19" ht="15.75" thickBot="1">
      <c r="A21" s="30"/>
      <c r="B21" s="31"/>
      <c r="C21" s="31"/>
      <c r="D21" s="31"/>
      <c r="E21" s="32"/>
      <c r="F21" s="16"/>
      <c r="G21" s="17"/>
      <c r="H21" s="17"/>
      <c r="I21" s="17"/>
      <c r="J21" s="17"/>
      <c r="K21" s="17"/>
      <c r="L21" s="17"/>
      <c r="M21" s="17"/>
      <c r="N21" s="17"/>
      <c r="O21" s="17"/>
      <c r="P21" s="34"/>
      <c r="Q21" s="34"/>
      <c r="R21" s="34"/>
      <c r="S21" s="18"/>
    </row>
    <row r="22" spans="1:19" ht="15.75" thickBot="1">
      <c r="A22" s="9" t="s">
        <v>18</v>
      </c>
      <c r="B22" s="10"/>
      <c r="C22" s="10"/>
      <c r="D22" s="10"/>
      <c r="E22" s="11"/>
      <c r="F22" s="19">
        <f t="shared" ref="F22:P22" si="0">SUM(F5:F21)</f>
        <v>0</v>
      </c>
      <c r="G22" s="20">
        <f t="shared" si="0"/>
        <v>0</v>
      </c>
      <c r="H22" s="20">
        <f t="shared" si="0"/>
        <v>0</v>
      </c>
      <c r="I22" s="20">
        <f t="shared" si="0"/>
        <v>0</v>
      </c>
      <c r="J22" s="20">
        <f t="shared" si="0"/>
        <v>0</v>
      </c>
      <c r="K22" s="20">
        <f t="shared" si="0"/>
        <v>0</v>
      </c>
      <c r="L22" s="20">
        <f t="shared" si="0"/>
        <v>0</v>
      </c>
      <c r="M22" s="20">
        <f t="shared" si="0"/>
        <v>0</v>
      </c>
      <c r="N22" s="20">
        <f t="shared" si="0"/>
        <v>0</v>
      </c>
      <c r="O22" s="20">
        <f t="shared" si="0"/>
        <v>0</v>
      </c>
      <c r="P22" s="35">
        <f t="shared" si="0"/>
        <v>0</v>
      </c>
      <c r="Q22" s="35">
        <f t="shared" ref="Q22:S22" si="1">SUM(Q5:Q21)</f>
        <v>0</v>
      </c>
      <c r="R22" s="35">
        <f t="shared" si="1"/>
        <v>0</v>
      </c>
      <c r="S22" s="21">
        <f t="shared" si="1"/>
        <v>0</v>
      </c>
    </row>
  </sheetData>
  <mergeCells count="1">
    <mergeCell ref="F3:S3"/>
  </mergeCells>
  <phoneticPr fontId="7"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14E42CF2-C295-4678-AD84-BC92519338B8}">
          <x14:formula1>
            <xm:f>'Drop downs'!$F$2:$F$3</xm:f>
          </x14:formula1>
          <xm:sqref>D16:D22 D5:D6 D8:D11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AA270"/>
  <sheetViews>
    <sheetView zoomScale="55" zoomScaleNormal="55" zoomScaleSheetLayoutView="40" zoomScalePageLayoutView="70" workbookViewId="0">
      <pane xSplit="5" ySplit="16" topLeftCell="F23" activePane="bottomRight" state="frozen"/>
      <selection pane="topRight" activeCell="F1" sqref="F1"/>
      <selection pane="bottomLeft" activeCell="A8" sqref="A8"/>
      <selection pane="bottomRight" activeCell="F32" sqref="F32"/>
    </sheetView>
  </sheetViews>
  <sheetFormatPr defaultColWidth="9.140625" defaultRowHeight="15" outlineLevelCol="1"/>
  <cols>
    <col min="1" max="2" width="18.42578125" style="7" customWidth="1"/>
    <col min="3" max="3" width="21" style="7" customWidth="1"/>
    <col min="4" max="4" width="19.85546875" style="91" customWidth="1"/>
    <col min="5" max="5" width="19.85546875" style="92" customWidth="1"/>
    <col min="6" max="6" width="19.85546875" style="92" customWidth="1" outlineLevel="1"/>
    <col min="7" max="7" width="13.140625" style="92" customWidth="1" outlineLevel="1"/>
    <col min="8" max="8" width="19.85546875" customWidth="1" outlineLevel="1"/>
    <col min="9" max="9" width="22.28515625" customWidth="1" outlineLevel="1"/>
    <col min="10" max="10" width="25.140625" customWidth="1" outlineLevel="1"/>
    <col min="11" max="11" width="21.28515625" style="93" customWidth="1" outlineLevel="1"/>
    <col min="12" max="12" width="25.5703125" style="93" customWidth="1" outlineLevel="1"/>
    <col min="13" max="13" width="20.140625" style="93" customWidth="1"/>
    <col min="14" max="14" width="20.140625" style="42" customWidth="1"/>
    <col min="15" max="15" width="18.28515625" style="93" customWidth="1"/>
    <col min="16" max="16" width="18.28515625" style="147" customWidth="1"/>
    <col min="17" max="17" width="21.7109375" style="93" customWidth="1"/>
    <col min="18" max="18" width="21.7109375" style="98" customWidth="1"/>
    <col min="19" max="19" width="25.5703125" style="93" customWidth="1" outlineLevel="1"/>
    <col min="20" max="20" width="19" style="93" customWidth="1" outlineLevel="1"/>
    <col min="21" max="21" width="20" style="98" customWidth="1"/>
    <col min="22" max="22" width="23.5703125" style="98" customWidth="1"/>
    <col min="23" max="23" width="22.5703125" style="98" customWidth="1"/>
    <col min="24" max="25" width="13.28515625" style="98" customWidth="1"/>
  </cols>
  <sheetData>
    <row r="1" spans="1:25" s="72" customFormat="1" ht="15.75" thickBot="1">
      <c r="A1" s="69"/>
      <c r="B1" s="69"/>
      <c r="C1" s="69"/>
      <c r="D1" s="70"/>
      <c r="E1" s="71"/>
      <c r="F1" s="71"/>
      <c r="G1" s="71"/>
      <c r="K1" s="73"/>
      <c r="L1" s="73"/>
      <c r="M1" s="73"/>
      <c r="N1" s="74"/>
      <c r="O1" s="73"/>
      <c r="P1" s="73"/>
      <c r="Q1" s="73"/>
      <c r="R1" s="73"/>
      <c r="S1" s="227" t="s">
        <v>63</v>
      </c>
      <c r="T1" s="228"/>
      <c r="U1" s="228"/>
      <c r="V1" s="228"/>
      <c r="W1" s="229"/>
      <c r="X1" s="73"/>
      <c r="Y1" s="73"/>
    </row>
    <row r="2" spans="1:25" s="72" customFormat="1">
      <c r="A2" s="69"/>
      <c r="B2" s="69"/>
      <c r="C2" s="69"/>
      <c r="D2" s="70"/>
      <c r="E2" s="71"/>
      <c r="F2" s="71"/>
      <c r="G2" s="71"/>
      <c r="K2" s="73"/>
      <c r="L2" s="73"/>
      <c r="M2" s="73"/>
      <c r="N2" s="73"/>
      <c r="O2" s="73"/>
      <c r="P2" s="73"/>
      <c r="Q2" s="73"/>
      <c r="R2" s="73"/>
      <c r="S2" s="75"/>
      <c r="T2" s="73"/>
      <c r="U2" s="76"/>
      <c r="V2" s="76"/>
      <c r="W2" s="77"/>
      <c r="X2" s="73"/>
      <c r="Y2" s="73"/>
    </row>
    <row r="3" spans="1:25" s="72" customFormat="1">
      <c r="A3" s="69"/>
      <c r="B3" s="69"/>
      <c r="C3" s="69"/>
      <c r="D3" s="70"/>
      <c r="E3" s="71"/>
      <c r="F3" s="78"/>
      <c r="G3" s="71"/>
      <c r="K3" s="73"/>
      <c r="L3" s="73"/>
      <c r="M3" s="73"/>
      <c r="N3" s="73"/>
      <c r="O3" s="73"/>
      <c r="P3" s="73"/>
      <c r="Q3" s="73"/>
      <c r="R3" s="73"/>
      <c r="S3" s="75"/>
      <c r="T3" s="73"/>
      <c r="U3" s="76"/>
      <c r="V3" s="76"/>
      <c r="W3" s="77"/>
      <c r="X3" s="73"/>
      <c r="Y3" s="73"/>
    </row>
    <row r="4" spans="1:25" s="72" customFormat="1">
      <c r="A4" s="69"/>
      <c r="B4" s="69"/>
      <c r="C4" s="69"/>
      <c r="D4" s="70"/>
      <c r="E4" s="71"/>
      <c r="F4" s="78"/>
      <c r="G4" s="71"/>
      <c r="K4" s="73"/>
      <c r="L4" s="73"/>
      <c r="M4" s="73"/>
      <c r="N4" s="73"/>
      <c r="O4" s="73"/>
      <c r="P4" s="73"/>
      <c r="Q4" s="73"/>
      <c r="R4" s="73"/>
      <c r="S4" s="75"/>
      <c r="T4" s="73"/>
      <c r="U4" s="76"/>
      <c r="V4" s="76"/>
      <c r="W4" s="77"/>
      <c r="X4" s="73"/>
      <c r="Y4" s="73"/>
    </row>
    <row r="5" spans="1:25" s="72" customFormat="1">
      <c r="A5" s="69"/>
      <c r="B5" s="69"/>
      <c r="C5" s="69"/>
      <c r="D5" s="70"/>
      <c r="E5" s="71"/>
      <c r="F5" s="79"/>
      <c r="G5" s="71"/>
      <c r="K5" s="73"/>
      <c r="L5" s="73"/>
      <c r="M5" s="73"/>
      <c r="N5" s="73"/>
      <c r="O5" s="73"/>
      <c r="P5" s="73"/>
      <c r="Q5" s="73"/>
      <c r="R5" s="73"/>
      <c r="S5" s="75"/>
      <c r="T5" s="73"/>
      <c r="U5" s="76"/>
      <c r="V5" s="76"/>
      <c r="W5" s="77"/>
      <c r="X5" s="73"/>
      <c r="Y5" s="73"/>
    </row>
    <row r="6" spans="1:25" s="72" customFormat="1">
      <c r="A6" s="69"/>
      <c r="B6" s="69"/>
      <c r="C6" s="69"/>
      <c r="D6" s="70"/>
      <c r="E6" s="71"/>
      <c r="F6" s="71"/>
      <c r="G6" s="71"/>
      <c r="K6" s="73"/>
      <c r="L6" s="73"/>
      <c r="M6" s="73"/>
      <c r="N6" s="73"/>
      <c r="O6" s="73"/>
      <c r="P6" s="73"/>
      <c r="Q6" s="73"/>
      <c r="R6" s="73"/>
      <c r="S6" s="75"/>
      <c r="T6" s="73"/>
      <c r="U6" s="76"/>
      <c r="V6" s="76"/>
      <c r="W6" s="77"/>
      <c r="X6" s="73"/>
      <c r="Y6" s="73"/>
    </row>
    <row r="7" spans="1:25" s="72" customFormat="1">
      <c r="A7" s="69"/>
      <c r="B7" s="69"/>
      <c r="C7" s="69"/>
      <c r="D7" s="70"/>
      <c r="E7" s="71"/>
      <c r="F7" s="71"/>
      <c r="G7" s="71"/>
      <c r="K7" s="73"/>
      <c r="L7" s="73"/>
      <c r="M7" s="73"/>
      <c r="N7" s="73"/>
      <c r="O7" s="73"/>
      <c r="P7" s="80"/>
      <c r="Q7" s="73"/>
      <c r="R7" s="76"/>
      <c r="S7" s="81"/>
      <c r="T7" s="82" t="s">
        <v>5</v>
      </c>
      <c r="U7" s="83" t="s">
        <v>69</v>
      </c>
      <c r="W7" s="83" t="s">
        <v>70</v>
      </c>
      <c r="X7" s="76"/>
      <c r="Y7" s="76"/>
    </row>
    <row r="8" spans="1:25" s="72" customFormat="1">
      <c r="A8" s="69"/>
      <c r="B8" s="69"/>
      <c r="C8" s="69"/>
      <c r="D8" s="70"/>
      <c r="E8" s="71"/>
      <c r="F8" s="71"/>
      <c r="G8" s="71"/>
      <c r="K8" s="73"/>
      <c r="L8" s="73"/>
      <c r="M8" s="73"/>
      <c r="N8" s="73"/>
      <c r="O8" s="73"/>
      <c r="P8" s="80"/>
      <c r="Q8" s="73"/>
      <c r="R8" s="76"/>
      <c r="S8" s="81"/>
      <c r="T8" s="84" t="s">
        <v>56</v>
      </c>
      <c r="U8" s="85">
        <v>100000</v>
      </c>
      <c r="W8" s="86">
        <v>250000</v>
      </c>
      <c r="X8" s="76"/>
      <c r="Y8" s="76"/>
    </row>
    <row r="9" spans="1:25" s="72" customFormat="1">
      <c r="A9" s="69"/>
      <c r="B9" s="69"/>
      <c r="C9" s="69"/>
      <c r="D9" s="70"/>
      <c r="E9" s="71"/>
      <c r="F9" s="71"/>
      <c r="G9" s="71"/>
      <c r="K9" s="73"/>
      <c r="L9" s="73"/>
      <c r="M9" s="73"/>
      <c r="N9" s="74"/>
      <c r="O9" s="73"/>
      <c r="P9" s="73"/>
      <c r="Q9" s="73"/>
      <c r="R9" s="73"/>
      <c r="S9" s="81"/>
      <c r="T9" s="87" t="s">
        <v>41</v>
      </c>
      <c r="U9" s="219">
        <v>0.01</v>
      </c>
      <c r="W9" s="220">
        <v>0.01</v>
      </c>
      <c r="X9" s="73"/>
      <c r="Y9" s="73"/>
    </row>
    <row r="10" spans="1:25" s="72" customFormat="1">
      <c r="A10" s="69"/>
      <c r="B10" s="69"/>
      <c r="C10" s="69"/>
      <c r="D10" s="70"/>
      <c r="E10" s="71"/>
      <c r="F10" s="71"/>
      <c r="G10" s="71"/>
      <c r="M10" s="73"/>
      <c r="N10" s="73"/>
      <c r="O10" s="76"/>
      <c r="P10" s="76"/>
      <c r="Q10" s="76"/>
      <c r="R10" s="76"/>
      <c r="S10" s="81"/>
      <c r="T10" s="87" t="s">
        <v>101</v>
      </c>
      <c r="U10" s="85">
        <v>0.03</v>
      </c>
      <c r="W10" s="86">
        <v>0.03</v>
      </c>
      <c r="X10" s="76"/>
      <c r="Y10" s="76"/>
    </row>
    <row r="11" spans="1:25" s="72" customFormat="1">
      <c r="A11" s="69"/>
      <c r="B11" s="69"/>
      <c r="C11" s="69"/>
      <c r="D11" s="70"/>
      <c r="E11" s="71"/>
      <c r="F11" s="71"/>
      <c r="G11" s="71"/>
      <c r="M11" s="73"/>
      <c r="N11" s="73"/>
      <c r="O11" s="73"/>
      <c r="P11" s="73"/>
      <c r="Q11" s="73"/>
      <c r="R11" s="73"/>
      <c r="S11" s="81"/>
      <c r="T11" s="84"/>
      <c r="U11" s="85"/>
      <c r="W11" s="86"/>
      <c r="X11" s="73"/>
      <c r="Y11" s="73"/>
    </row>
    <row r="12" spans="1:25" s="72" customFormat="1">
      <c r="A12" s="69"/>
      <c r="B12" s="69"/>
      <c r="C12" s="69"/>
      <c r="D12" s="70"/>
      <c r="E12" s="71"/>
      <c r="F12" s="71"/>
      <c r="G12" s="71"/>
      <c r="K12" s="73"/>
      <c r="M12" s="88"/>
      <c r="N12" s="89"/>
      <c r="O12" s="73"/>
      <c r="P12" s="80"/>
      <c r="Q12" s="90"/>
      <c r="R12" s="76"/>
      <c r="S12" s="81"/>
      <c r="T12" s="84"/>
      <c r="U12" s="85"/>
      <c r="W12" s="86"/>
      <c r="X12" s="76"/>
      <c r="Y12" s="76"/>
    </row>
    <row r="13" spans="1:25" s="72" customFormat="1">
      <c r="A13" s="69"/>
      <c r="B13" s="69"/>
      <c r="C13" s="69"/>
      <c r="D13" s="70"/>
      <c r="E13" s="71"/>
      <c r="F13" s="71"/>
      <c r="G13" s="71"/>
      <c r="K13" s="73"/>
      <c r="N13" s="74"/>
      <c r="O13" s="73"/>
      <c r="P13" s="80"/>
      <c r="Q13" s="73"/>
      <c r="R13" s="76"/>
      <c r="S13" s="81"/>
      <c r="U13" s="76"/>
      <c r="V13" s="76"/>
      <c r="W13" s="77"/>
      <c r="X13" s="76"/>
      <c r="Y13" s="76"/>
    </row>
    <row r="14" spans="1:25" ht="15" customHeight="1" thickBot="1">
      <c r="M14" s="89"/>
      <c r="N14" s="89"/>
      <c r="O14" s="89"/>
      <c r="P14" s="89"/>
      <c r="Q14" s="89"/>
      <c r="R14" s="89"/>
      <c r="S14" s="94"/>
      <c r="T14" s="95"/>
      <c r="U14" s="96"/>
      <c r="V14" s="96"/>
      <c r="W14" s="97"/>
    </row>
    <row r="15" spans="1:25" ht="15" customHeight="1">
      <c r="H15" s="148"/>
      <c r="I15" s="148"/>
      <c r="J15" s="148"/>
      <c r="K15" s="148"/>
      <c r="L15" s="148"/>
      <c r="M15" s="149" t="s">
        <v>33</v>
      </c>
      <c r="N15" s="150">
        <f>SUBTOTAL(9,N17:N10022)</f>
        <v>0</v>
      </c>
      <c r="O15" s="150">
        <f>SUBTOTAL(9,O17:O10022)</f>
        <v>0</v>
      </c>
      <c r="P15" s="150">
        <f>SUBTOTAL(9,P17:P10022)</f>
        <v>0</v>
      </c>
      <c r="Q15" s="151">
        <f>SUBTOTAL(9,Q17:Q10022)</f>
        <v>0</v>
      </c>
      <c r="R15" s="99"/>
      <c r="S15" s="230" t="s">
        <v>57</v>
      </c>
      <c r="T15" s="231"/>
      <c r="U15" s="232"/>
      <c r="V15" s="233" t="s">
        <v>61</v>
      </c>
      <c r="W15" s="234"/>
      <c r="X15" s="100"/>
      <c r="Y15" s="100"/>
    </row>
    <row r="16" spans="1:25" s="102" customFormat="1" ht="42.75" customHeight="1">
      <c r="A16" s="152" t="s">
        <v>4</v>
      </c>
      <c r="B16" s="152" t="s">
        <v>92</v>
      </c>
      <c r="C16" s="152" t="s">
        <v>19</v>
      </c>
      <c r="D16" s="152" t="s">
        <v>3</v>
      </c>
      <c r="E16" s="152" t="s">
        <v>29</v>
      </c>
      <c r="F16" s="152" t="s">
        <v>2</v>
      </c>
      <c r="G16" s="152" t="s">
        <v>36</v>
      </c>
      <c r="H16" s="152" t="s">
        <v>37</v>
      </c>
      <c r="I16" s="152" t="s">
        <v>22</v>
      </c>
      <c r="J16" s="152" t="s">
        <v>1</v>
      </c>
      <c r="K16" s="152" t="s">
        <v>5</v>
      </c>
      <c r="L16" s="152" t="s">
        <v>23</v>
      </c>
      <c r="M16" s="152" t="s">
        <v>15</v>
      </c>
      <c r="N16" s="152" t="s">
        <v>85</v>
      </c>
      <c r="O16" s="152" t="s">
        <v>34</v>
      </c>
      <c r="P16" s="152" t="s">
        <v>35</v>
      </c>
      <c r="Q16" s="152" t="s">
        <v>6</v>
      </c>
      <c r="R16" s="153" t="s">
        <v>0</v>
      </c>
      <c r="S16" s="158" t="s">
        <v>58</v>
      </c>
      <c r="T16" s="152" t="s">
        <v>55</v>
      </c>
      <c r="U16" s="159" t="s">
        <v>59</v>
      </c>
      <c r="V16" s="158" t="s">
        <v>60</v>
      </c>
      <c r="W16" s="159" t="s">
        <v>62</v>
      </c>
      <c r="X16" s="101"/>
      <c r="Y16" s="101"/>
    </row>
    <row r="17" spans="1:23" s="115" customFormat="1" ht="29.25" customHeight="1">
      <c r="A17" s="201"/>
      <c r="B17" s="193"/>
      <c r="C17" s="202"/>
      <c r="D17" s="203"/>
      <c r="E17" s="189"/>
      <c r="F17" s="181"/>
      <c r="G17" s="189"/>
      <c r="H17" s="188"/>
      <c r="I17" s="188"/>
      <c r="J17" s="181"/>
      <c r="K17" s="188"/>
      <c r="L17" s="190"/>
      <c r="M17" s="201"/>
      <c r="N17" s="191"/>
      <c r="O17" s="204"/>
      <c r="P17" s="204"/>
      <c r="Q17" s="177">
        <f>SUM(Table1[[#This Row],[DBB Claim Total]:[Reserve Total]])</f>
        <v>0</v>
      </c>
      <c r="R17" s="180"/>
      <c r="S17" s="113">
        <f t="shared" ref="S17:S48" si="0">IF(K17=$T$9,$U$9,IF(K17=$T$10,$U$10,IF(K17=$T$11,$U$11,IF(K17=$T$12,$U$12,$U$8))))</f>
        <v>0</v>
      </c>
      <c r="T17" s="191"/>
      <c r="U17" s="114">
        <f t="shared" ref="U17:U122" si="1">IF(Q17&lt;(IF(ISBLANK(T17),S17,S17*T17)),0,Q17-(IF(ISBLANK(T17),S17,S17*T17)))</f>
        <v>0</v>
      </c>
      <c r="V17" s="113">
        <f t="shared" ref="V17:V48" si="2">IF(K17=$T$9,$W$9,IF(K17=$T$10,$W$10,IF(K17=$T$11,$W$11,IF(K17=$T$12,$W$12,$W$8))))</f>
        <v>0</v>
      </c>
      <c r="W17" s="114">
        <f t="shared" ref="W17:W122" si="3">IF(Q17&lt;(IF(ISBLANK(T17),V17,V17*T17)),0,Q17-(IF(ISBLANK(T17),V17,V17*T17)))</f>
        <v>0</v>
      </c>
    </row>
    <row r="18" spans="1:23" s="115" customFormat="1" ht="29.25" customHeight="1">
      <c r="A18" s="201"/>
      <c r="B18" s="193"/>
      <c r="C18" s="202"/>
      <c r="D18" s="203"/>
      <c r="E18" s="189"/>
      <c r="F18" s="181"/>
      <c r="G18" s="189"/>
      <c r="H18" s="188"/>
      <c r="I18" s="188"/>
      <c r="J18" s="181"/>
      <c r="K18" s="188"/>
      <c r="L18" s="190"/>
      <c r="M18" s="201"/>
      <c r="N18" s="191"/>
      <c r="O18" s="204"/>
      <c r="P18" s="204"/>
      <c r="Q18" s="177">
        <f>SUM(Table1[[#This Row],[DBB Claim Total]:[Reserve Total]])</f>
        <v>0</v>
      </c>
      <c r="R18" s="197"/>
      <c r="S18" s="113">
        <f t="shared" si="0"/>
        <v>0</v>
      </c>
      <c r="T18" s="191"/>
      <c r="U18" s="114">
        <f t="shared" si="1"/>
        <v>0</v>
      </c>
      <c r="V18" s="113">
        <f t="shared" si="2"/>
        <v>0</v>
      </c>
      <c r="W18" s="114">
        <f t="shared" si="3"/>
        <v>0</v>
      </c>
    </row>
    <row r="19" spans="1:23" s="115" customFormat="1" ht="29.25" customHeight="1">
      <c r="A19" s="206"/>
      <c r="B19" s="178"/>
      <c r="C19" s="202"/>
      <c r="D19" s="182"/>
      <c r="E19" s="189"/>
      <c r="F19" s="181"/>
      <c r="G19" s="189"/>
      <c r="H19" s="188"/>
      <c r="I19" s="188"/>
      <c r="J19" s="181"/>
      <c r="K19" s="188"/>
      <c r="L19" s="190"/>
      <c r="M19" s="201"/>
      <c r="N19" s="191"/>
      <c r="O19" s="205"/>
      <c r="P19" s="213"/>
      <c r="Q19" s="177">
        <f>SUM(Table1[[#This Row],[DBB Claim Total]:[Reserve Total]])</f>
        <v>0</v>
      </c>
      <c r="R19" s="197"/>
      <c r="S19" s="113">
        <f t="shared" si="0"/>
        <v>0</v>
      </c>
      <c r="T19" s="191"/>
      <c r="U19" s="114">
        <f t="shared" si="1"/>
        <v>0</v>
      </c>
      <c r="V19" s="113">
        <f t="shared" si="2"/>
        <v>0</v>
      </c>
      <c r="W19" s="114">
        <f t="shared" si="3"/>
        <v>0</v>
      </c>
    </row>
    <row r="20" spans="1:23" s="115" customFormat="1" ht="29.25" customHeight="1">
      <c r="A20" s="201"/>
      <c r="B20" s="193"/>
      <c r="C20" s="202"/>
      <c r="D20" s="182"/>
      <c r="E20" s="189"/>
      <c r="F20" s="202"/>
      <c r="G20" s="183"/>
      <c r="H20" s="184"/>
      <c r="I20" s="188"/>
      <c r="J20" s="202"/>
      <c r="K20" s="188"/>
      <c r="L20" s="190"/>
      <c r="M20" s="201"/>
      <c r="N20" s="191"/>
      <c r="O20" s="204"/>
      <c r="P20" s="204"/>
      <c r="Q20" s="177">
        <f>SUM(Table1[[#This Row],[DBB Claim Total]:[Reserve Total]])</f>
        <v>0</v>
      </c>
      <c r="R20" s="197"/>
      <c r="S20" s="113">
        <f t="shared" si="0"/>
        <v>0</v>
      </c>
      <c r="T20" s="191"/>
      <c r="U20" s="114">
        <f t="shared" si="1"/>
        <v>0</v>
      </c>
      <c r="V20" s="113">
        <f t="shared" si="2"/>
        <v>0</v>
      </c>
      <c r="W20" s="114">
        <f t="shared" si="3"/>
        <v>0</v>
      </c>
    </row>
    <row r="21" spans="1:23" s="115" customFormat="1" ht="29.25" customHeight="1">
      <c r="A21" s="201"/>
      <c r="B21" s="193"/>
      <c r="C21" s="202"/>
      <c r="D21" s="182"/>
      <c r="E21" s="183"/>
      <c r="F21" s="184"/>
      <c r="G21" s="183"/>
      <c r="H21" s="184"/>
      <c r="I21" s="188"/>
      <c r="J21" s="202"/>
      <c r="K21" s="184"/>
      <c r="L21" s="190"/>
      <c r="M21" s="201"/>
      <c r="N21" s="191"/>
      <c r="O21" s="185"/>
      <c r="P21" s="204"/>
      <c r="Q21" s="177">
        <f>SUM(Table1[[#This Row],[DBB Claim Total]:[Reserve Total]])</f>
        <v>0</v>
      </c>
      <c r="R21" s="180"/>
      <c r="S21" s="113">
        <f t="shared" si="0"/>
        <v>0</v>
      </c>
      <c r="T21" s="191"/>
      <c r="U21" s="114">
        <f t="shared" si="1"/>
        <v>0</v>
      </c>
      <c r="V21" s="113">
        <f t="shared" si="2"/>
        <v>0</v>
      </c>
      <c r="W21" s="114">
        <f t="shared" si="3"/>
        <v>0</v>
      </c>
    </row>
    <row r="22" spans="1:23" s="115" customFormat="1" ht="29.25" customHeight="1">
      <c r="A22" s="202"/>
      <c r="B22" s="193"/>
      <c r="C22" s="202"/>
      <c r="D22" s="203"/>
      <c r="E22" s="189"/>
      <c r="F22" s="189"/>
      <c r="G22" s="197"/>
      <c r="H22" s="194"/>
      <c r="I22" s="188"/>
      <c r="J22" s="194"/>
      <c r="K22" s="188"/>
      <c r="L22" s="190"/>
      <c r="M22" s="201"/>
      <c r="N22" s="191"/>
      <c r="O22" s="196"/>
      <c r="P22" s="196"/>
      <c r="Q22" s="177">
        <f>SUM(Table1[[#This Row],[DBB Claim Total]:[Reserve Total]])</f>
        <v>0</v>
      </c>
      <c r="R22" s="197"/>
      <c r="S22" s="113">
        <f t="shared" si="0"/>
        <v>0</v>
      </c>
      <c r="T22" s="191"/>
      <c r="U22" s="114">
        <f t="shared" si="1"/>
        <v>0</v>
      </c>
      <c r="V22" s="113">
        <f t="shared" si="2"/>
        <v>0</v>
      </c>
      <c r="W22" s="114">
        <f t="shared" si="3"/>
        <v>0</v>
      </c>
    </row>
    <row r="23" spans="1:23" s="115" customFormat="1" ht="29.25" customHeight="1">
      <c r="A23" s="202"/>
      <c r="B23" s="193"/>
      <c r="C23" s="202"/>
      <c r="D23" s="203"/>
      <c r="E23" s="189"/>
      <c r="F23" s="188"/>
      <c r="G23" s="189"/>
      <c r="H23" s="188"/>
      <c r="I23" s="188"/>
      <c r="J23" s="181"/>
      <c r="K23" s="188"/>
      <c r="L23" s="190"/>
      <c r="M23" s="201"/>
      <c r="N23" s="191"/>
      <c r="O23" s="204"/>
      <c r="P23" s="204"/>
      <c r="Q23" s="177">
        <f>SUM(Table1[[#This Row],[DBB Claim Total]:[Reserve Total]])</f>
        <v>0</v>
      </c>
      <c r="R23" s="197"/>
      <c r="S23" s="113">
        <f t="shared" si="0"/>
        <v>0</v>
      </c>
      <c r="T23" s="191"/>
      <c r="U23" s="114">
        <f t="shared" si="1"/>
        <v>0</v>
      </c>
      <c r="V23" s="113">
        <f t="shared" si="2"/>
        <v>0</v>
      </c>
      <c r="W23" s="114">
        <f t="shared" si="3"/>
        <v>0</v>
      </c>
    </row>
    <row r="24" spans="1:23" s="115" customFormat="1" ht="29.25" customHeight="1">
      <c r="A24" s="202"/>
      <c r="B24" s="193"/>
      <c r="C24" s="202"/>
      <c r="D24" s="203"/>
      <c r="E24" s="189"/>
      <c r="F24" s="184"/>
      <c r="G24" s="183"/>
      <c r="H24" s="184"/>
      <c r="I24" s="188"/>
      <c r="J24" s="181"/>
      <c r="K24" s="188"/>
      <c r="L24" s="190"/>
      <c r="M24" s="201"/>
      <c r="N24" s="191"/>
      <c r="O24" s="204"/>
      <c r="P24" s="204"/>
      <c r="Q24" s="177">
        <f>SUM(Table1[[#This Row],[DBB Claim Total]:[Reserve Total]])</f>
        <v>0</v>
      </c>
      <c r="R24" s="180"/>
      <c r="S24" s="113">
        <f t="shared" si="0"/>
        <v>0</v>
      </c>
      <c r="T24" s="191"/>
      <c r="U24" s="114">
        <f t="shared" si="1"/>
        <v>0</v>
      </c>
      <c r="V24" s="113">
        <f t="shared" si="2"/>
        <v>0</v>
      </c>
      <c r="W24" s="114">
        <f t="shared" si="3"/>
        <v>0</v>
      </c>
    </row>
    <row r="25" spans="1:23" s="115" customFormat="1" ht="29.25" customHeight="1">
      <c r="A25" s="202"/>
      <c r="B25" s="194"/>
      <c r="C25" s="194"/>
      <c r="D25" s="203"/>
      <c r="E25" s="189"/>
      <c r="F25" s="188"/>
      <c r="G25" s="189"/>
      <c r="H25" s="188"/>
      <c r="I25" s="188"/>
      <c r="J25" s="181"/>
      <c r="K25" s="188"/>
      <c r="L25" s="190"/>
      <c r="M25" s="201"/>
      <c r="N25" s="191"/>
      <c r="O25" s="204"/>
      <c r="P25" s="204"/>
      <c r="Q25" s="177">
        <f>SUM(Table1[[#This Row],[DBB Claim Total]:[Reserve Total]])</f>
        <v>0</v>
      </c>
      <c r="R25" s="192"/>
      <c r="S25" s="113">
        <f t="shared" si="0"/>
        <v>0</v>
      </c>
      <c r="T25" s="191"/>
      <c r="U25" s="114">
        <f t="shared" si="1"/>
        <v>0</v>
      </c>
      <c r="V25" s="113">
        <f t="shared" si="2"/>
        <v>0</v>
      </c>
      <c r="W25" s="114">
        <f t="shared" si="3"/>
        <v>0</v>
      </c>
    </row>
    <row r="26" spans="1:23" s="115" customFormat="1" ht="29.25" customHeight="1">
      <c r="A26" s="202"/>
      <c r="B26" s="194"/>
      <c r="C26" s="194"/>
      <c r="D26" s="203"/>
      <c r="E26" s="189"/>
      <c r="F26" s="188"/>
      <c r="G26" s="189"/>
      <c r="H26" s="188"/>
      <c r="I26" s="188"/>
      <c r="J26" s="181"/>
      <c r="K26" s="188"/>
      <c r="L26" s="190"/>
      <c r="M26" s="201"/>
      <c r="N26" s="191"/>
      <c r="O26" s="204"/>
      <c r="P26" s="204"/>
      <c r="Q26" s="177">
        <f>SUM(Table1[[#This Row],[DBB Claim Total]:[Reserve Total]])</f>
        <v>0</v>
      </c>
      <c r="R26" s="197"/>
      <c r="S26" s="113">
        <f t="shared" si="0"/>
        <v>0</v>
      </c>
      <c r="T26" s="191"/>
      <c r="U26" s="114">
        <f t="shared" si="1"/>
        <v>0</v>
      </c>
      <c r="V26" s="113">
        <f t="shared" si="2"/>
        <v>0</v>
      </c>
      <c r="W26" s="114">
        <f t="shared" si="3"/>
        <v>0</v>
      </c>
    </row>
    <row r="27" spans="1:23" s="115" customFormat="1" ht="29.25" customHeight="1">
      <c r="A27" s="202"/>
      <c r="B27" s="194"/>
      <c r="C27" s="194"/>
      <c r="D27" s="179"/>
      <c r="E27" s="178"/>
      <c r="F27" s="189"/>
      <c r="G27" s="189"/>
      <c r="H27" s="188"/>
      <c r="I27" s="188"/>
      <c r="J27" s="176"/>
      <c r="K27" s="188"/>
      <c r="L27" s="190"/>
      <c r="M27" s="193"/>
      <c r="N27" s="191"/>
      <c r="O27" s="177"/>
      <c r="P27" s="177"/>
      <c r="Q27" s="177">
        <f>SUM(Table1[[#This Row],[DBB Claim Total]:[Reserve Total]])</f>
        <v>0</v>
      </c>
      <c r="R27" s="197"/>
      <c r="S27" s="113">
        <f t="shared" si="0"/>
        <v>0</v>
      </c>
      <c r="T27" s="191"/>
      <c r="U27" s="114">
        <f t="shared" si="1"/>
        <v>0</v>
      </c>
      <c r="V27" s="113">
        <f t="shared" si="2"/>
        <v>0</v>
      </c>
      <c r="W27" s="114">
        <f t="shared" si="3"/>
        <v>0</v>
      </c>
    </row>
    <row r="28" spans="1:23" s="115" customFormat="1" ht="29.25" customHeight="1">
      <c r="A28" s="194"/>
      <c r="B28" s="202"/>
      <c r="C28" s="202"/>
      <c r="D28" s="195"/>
      <c r="E28" s="193"/>
      <c r="F28" s="189"/>
      <c r="G28" s="197"/>
      <c r="H28" s="194"/>
      <c r="I28" s="188"/>
      <c r="J28" s="194"/>
      <c r="K28" s="188"/>
      <c r="L28" s="188"/>
      <c r="M28" s="193"/>
      <c r="N28" s="191"/>
      <c r="O28" s="196"/>
      <c r="P28" s="204"/>
      <c r="Q28" s="177">
        <f>SUM(Table1[[#This Row],[DBB Claim Total]:[Reserve Total]])</f>
        <v>0</v>
      </c>
      <c r="R28" s="197"/>
      <c r="S28" s="113">
        <f t="shared" si="0"/>
        <v>0</v>
      </c>
      <c r="T28" s="191"/>
      <c r="U28" s="114">
        <f t="shared" ref="U28:U59" si="4">IF(Q28&lt;(IF(ISBLANK(T28),S28,S28*T28)),0,Q28-(IF(ISBLANK(T28),S28,S28*T28)))</f>
        <v>0</v>
      </c>
      <c r="V28" s="113">
        <f t="shared" si="2"/>
        <v>0</v>
      </c>
      <c r="W28" s="114">
        <f t="shared" ref="W28:W59" si="5">IF(Q28&lt;(IF(ISBLANK(T28),V28,V28*T28)),0,Q28-(IF(ISBLANK(T28),V28,V28*T28)))</f>
        <v>0</v>
      </c>
    </row>
    <row r="29" spans="1:23" s="115" customFormat="1" ht="29.25" customHeight="1">
      <c r="A29" s="193"/>
      <c r="B29" s="202"/>
      <c r="C29" s="202"/>
      <c r="D29" s="195"/>
      <c r="E29" s="193"/>
      <c r="F29" s="189"/>
      <c r="G29" s="197"/>
      <c r="H29" s="194"/>
      <c r="I29" s="188"/>
      <c r="J29" s="194"/>
      <c r="K29" s="188"/>
      <c r="L29" s="190"/>
      <c r="M29" s="193"/>
      <c r="N29" s="191"/>
      <c r="O29" s="196"/>
      <c r="P29" s="204"/>
      <c r="Q29" s="177">
        <f>SUM(Table1[[#This Row],[DBB Claim Total]:[Reserve Total]])</f>
        <v>0</v>
      </c>
      <c r="R29" s="197"/>
      <c r="S29" s="113">
        <f t="shared" si="0"/>
        <v>0</v>
      </c>
      <c r="T29" s="191"/>
      <c r="U29" s="114">
        <f t="shared" si="4"/>
        <v>0</v>
      </c>
      <c r="V29" s="113">
        <f t="shared" si="2"/>
        <v>0</v>
      </c>
      <c r="W29" s="114">
        <f t="shared" si="5"/>
        <v>0</v>
      </c>
    </row>
    <row r="30" spans="1:23" s="115" customFormat="1" ht="29.25" customHeight="1">
      <c r="A30" s="194"/>
      <c r="B30" s="202"/>
      <c r="C30" s="202"/>
      <c r="D30" s="195"/>
      <c r="E30" s="193"/>
      <c r="F30" s="189"/>
      <c r="G30" s="197"/>
      <c r="H30" s="194"/>
      <c r="I30" s="188"/>
      <c r="J30" s="194"/>
      <c r="K30" s="188"/>
      <c r="L30" s="190"/>
      <c r="M30" s="193"/>
      <c r="N30" s="191"/>
      <c r="O30" s="196"/>
      <c r="P30" s="204"/>
      <c r="Q30" s="177">
        <f>SUM(Table1[[#This Row],[DBB Claim Total]:[Reserve Total]])</f>
        <v>0</v>
      </c>
      <c r="R30" s="197"/>
      <c r="S30" s="113">
        <f t="shared" si="0"/>
        <v>0</v>
      </c>
      <c r="T30" s="191"/>
      <c r="U30" s="114">
        <f t="shared" si="4"/>
        <v>0</v>
      </c>
      <c r="V30" s="113">
        <f t="shared" si="2"/>
        <v>0</v>
      </c>
      <c r="W30" s="114">
        <f t="shared" si="5"/>
        <v>0</v>
      </c>
    </row>
    <row r="31" spans="1:23" s="115" customFormat="1" ht="29.25" customHeight="1">
      <c r="A31" s="193"/>
      <c r="B31" s="202"/>
      <c r="C31" s="202"/>
      <c r="D31" s="195"/>
      <c r="E31" s="193"/>
      <c r="F31" s="189"/>
      <c r="G31" s="197"/>
      <c r="H31" s="194"/>
      <c r="I31" s="188"/>
      <c r="J31" s="194"/>
      <c r="K31" s="188"/>
      <c r="L31" s="188"/>
      <c r="M31" s="193"/>
      <c r="N31" s="191"/>
      <c r="O31" s="196"/>
      <c r="P31" s="204"/>
      <c r="Q31" s="177">
        <f>SUM(Table1[[#This Row],[DBB Claim Total]:[Reserve Total]])</f>
        <v>0</v>
      </c>
      <c r="R31" s="197"/>
      <c r="S31" s="113">
        <f t="shared" si="0"/>
        <v>0</v>
      </c>
      <c r="T31" s="191"/>
      <c r="U31" s="114">
        <f t="shared" si="4"/>
        <v>0</v>
      </c>
      <c r="V31" s="113">
        <f t="shared" si="2"/>
        <v>0</v>
      </c>
      <c r="W31" s="114">
        <f t="shared" si="5"/>
        <v>0</v>
      </c>
    </row>
    <row r="32" spans="1:23" s="115" customFormat="1" ht="29.25" customHeight="1">
      <c r="A32" s="178"/>
      <c r="B32" s="203"/>
      <c r="C32" s="203"/>
      <c r="D32" s="189"/>
      <c r="E32" s="189"/>
      <c r="F32" s="181"/>
      <c r="G32" s="189"/>
      <c r="H32" s="188"/>
      <c r="I32" s="188"/>
      <c r="J32" s="181"/>
      <c r="K32" s="188"/>
      <c r="L32" s="190"/>
      <c r="M32" s="189"/>
      <c r="N32" s="191"/>
      <c r="O32" s="204"/>
      <c r="P32" s="204"/>
      <c r="Q32" s="177">
        <f>SUM(Table1[[#This Row],[DBB Claim Total]:[Reserve Total]])</f>
        <v>0</v>
      </c>
      <c r="R32" s="180"/>
      <c r="S32" s="113">
        <f t="shared" si="0"/>
        <v>0</v>
      </c>
      <c r="T32" s="191"/>
      <c r="U32" s="114">
        <f t="shared" si="4"/>
        <v>0</v>
      </c>
      <c r="V32" s="113">
        <f t="shared" si="2"/>
        <v>0</v>
      </c>
      <c r="W32" s="114">
        <f t="shared" si="5"/>
        <v>0</v>
      </c>
    </row>
    <row r="33" spans="1:25" s="115" customFormat="1" ht="29.25" customHeight="1">
      <c r="A33" s="186"/>
      <c r="B33" s="203"/>
      <c r="C33" s="203"/>
      <c r="D33" s="195"/>
      <c r="E33" s="193"/>
      <c r="F33" s="189"/>
      <c r="G33" s="197"/>
      <c r="H33" s="194"/>
      <c r="I33" s="188"/>
      <c r="J33" s="194"/>
      <c r="K33" s="188"/>
      <c r="L33" s="190"/>
      <c r="M33" s="193"/>
      <c r="N33" s="191"/>
      <c r="O33" s="196"/>
      <c r="P33" s="204"/>
      <c r="Q33" s="177">
        <f>SUM(Table1[[#This Row],[DBB Claim Total]:[Reserve Total]])</f>
        <v>0</v>
      </c>
      <c r="R33" s="199"/>
      <c r="S33" s="113">
        <f t="shared" si="0"/>
        <v>0</v>
      </c>
      <c r="T33" s="191"/>
      <c r="U33" s="114">
        <f t="shared" si="4"/>
        <v>0</v>
      </c>
      <c r="V33" s="113">
        <f t="shared" si="2"/>
        <v>0</v>
      </c>
      <c r="W33" s="114">
        <f t="shared" si="5"/>
        <v>0</v>
      </c>
    </row>
    <row r="34" spans="1:25" s="115" customFormat="1" ht="29.25" customHeight="1">
      <c r="A34" s="187"/>
      <c r="B34" s="203"/>
      <c r="C34" s="203"/>
      <c r="D34" s="195"/>
      <c r="E34" s="193"/>
      <c r="F34" s="189"/>
      <c r="G34" s="197"/>
      <c r="H34" s="194"/>
      <c r="I34" s="188"/>
      <c r="J34" s="194"/>
      <c r="K34" s="188"/>
      <c r="L34" s="190"/>
      <c r="M34" s="193"/>
      <c r="N34" s="191"/>
      <c r="O34" s="196"/>
      <c r="P34" s="204"/>
      <c r="Q34" s="177">
        <f>SUM(Table1[[#This Row],[DBB Claim Total]:[Reserve Total]])</f>
        <v>0</v>
      </c>
      <c r="R34" s="197"/>
      <c r="S34" s="113">
        <f t="shared" si="0"/>
        <v>0</v>
      </c>
      <c r="T34" s="191"/>
      <c r="U34" s="114">
        <f t="shared" si="4"/>
        <v>0</v>
      </c>
      <c r="V34" s="113">
        <f t="shared" si="2"/>
        <v>0</v>
      </c>
      <c r="W34" s="114">
        <f t="shared" si="5"/>
        <v>0</v>
      </c>
    </row>
    <row r="35" spans="1:25" s="115" customFormat="1" ht="29.25" customHeight="1">
      <c r="A35" s="187"/>
      <c r="B35" s="203"/>
      <c r="C35" s="203"/>
      <c r="D35" s="195"/>
      <c r="E35" s="193"/>
      <c r="F35" s="188"/>
      <c r="G35" s="197"/>
      <c r="H35" s="194"/>
      <c r="I35" s="188"/>
      <c r="J35" s="194"/>
      <c r="K35" s="188"/>
      <c r="L35" s="190"/>
      <c r="M35" s="193"/>
      <c r="N35" s="191"/>
      <c r="O35" s="196"/>
      <c r="P35" s="204"/>
      <c r="Q35" s="177">
        <f>SUM(Table1[[#This Row],[DBB Claim Total]:[Reserve Total]])</f>
        <v>0</v>
      </c>
      <c r="R35" s="197"/>
      <c r="S35" s="113">
        <f t="shared" si="0"/>
        <v>0</v>
      </c>
      <c r="T35" s="191"/>
      <c r="U35" s="114">
        <f t="shared" si="4"/>
        <v>0</v>
      </c>
      <c r="V35" s="113">
        <f t="shared" si="2"/>
        <v>0</v>
      </c>
      <c r="W35" s="114">
        <f t="shared" si="5"/>
        <v>0</v>
      </c>
    </row>
    <row r="36" spans="1:25" s="115" customFormat="1" ht="29.25" customHeight="1">
      <c r="A36" s="207"/>
      <c r="B36" s="203"/>
      <c r="C36" s="203"/>
      <c r="D36" s="193"/>
      <c r="E36" s="189"/>
      <c r="F36" s="183"/>
      <c r="G36" s="197"/>
      <c r="H36" s="194"/>
      <c r="I36" s="188"/>
      <c r="J36" s="188"/>
      <c r="K36" s="188"/>
      <c r="L36" s="193"/>
      <c r="M36" s="189"/>
      <c r="N36" s="196"/>
      <c r="O36" s="196"/>
      <c r="P36" s="204"/>
      <c r="Q36" s="177">
        <f>SUM(Table1[[#This Row],[DBB Claim Total]:[Reserve Total]])</f>
        <v>0</v>
      </c>
      <c r="R36" s="197"/>
      <c r="S36" s="113">
        <f t="shared" si="0"/>
        <v>0</v>
      </c>
      <c r="T36" s="191"/>
      <c r="U36" s="114">
        <f t="shared" si="4"/>
        <v>0</v>
      </c>
      <c r="V36" s="113">
        <f t="shared" si="2"/>
        <v>0</v>
      </c>
      <c r="W36" s="114">
        <f t="shared" si="5"/>
        <v>0</v>
      </c>
    </row>
    <row r="37" spans="1:25" s="115" customFormat="1" ht="29.25" customHeight="1">
      <c r="A37" s="207"/>
      <c r="B37" s="203"/>
      <c r="C37" s="203"/>
      <c r="D37" s="195"/>
      <c r="E37" s="193"/>
      <c r="F37" s="189"/>
      <c r="G37" s="197"/>
      <c r="H37" s="194"/>
      <c r="I37" s="188"/>
      <c r="J37" s="194"/>
      <c r="K37" s="188"/>
      <c r="L37" s="188"/>
      <c r="M37" s="193"/>
      <c r="N37" s="191"/>
      <c r="O37" s="196"/>
      <c r="P37" s="204"/>
      <c r="Q37" s="177">
        <f>SUM(Table1[[#This Row],[DBB Claim Total]:[Reserve Total]])</f>
        <v>0</v>
      </c>
      <c r="R37" s="197"/>
      <c r="S37" s="113">
        <f t="shared" si="0"/>
        <v>0</v>
      </c>
      <c r="T37" s="191"/>
      <c r="U37" s="114">
        <f t="shared" si="4"/>
        <v>0</v>
      </c>
      <c r="V37" s="113">
        <f t="shared" si="2"/>
        <v>0</v>
      </c>
      <c r="W37" s="114">
        <f t="shared" si="5"/>
        <v>0</v>
      </c>
    </row>
    <row r="38" spans="1:25" s="115" customFormat="1" ht="29.25" customHeight="1">
      <c r="A38" s="207"/>
      <c r="B38" s="203"/>
      <c r="C38" s="203"/>
      <c r="D38" s="195"/>
      <c r="E38" s="193"/>
      <c r="F38" s="189"/>
      <c r="G38" s="197"/>
      <c r="H38" s="194"/>
      <c r="I38" s="210"/>
      <c r="J38" s="194"/>
      <c r="K38" s="188"/>
      <c r="L38" s="188"/>
      <c r="M38" s="193"/>
      <c r="N38" s="191"/>
      <c r="O38" s="196"/>
      <c r="P38" s="204"/>
      <c r="Q38" s="177">
        <f>SUM(Table1[[#This Row],[DBB Claim Total]:[Reserve Total]])</f>
        <v>0</v>
      </c>
      <c r="R38" s="197"/>
      <c r="S38" s="113">
        <f t="shared" si="0"/>
        <v>0</v>
      </c>
      <c r="T38" s="191"/>
      <c r="U38" s="114">
        <f t="shared" si="4"/>
        <v>0</v>
      </c>
      <c r="V38" s="113">
        <f t="shared" si="2"/>
        <v>0</v>
      </c>
      <c r="W38" s="114">
        <f t="shared" si="5"/>
        <v>0</v>
      </c>
    </row>
    <row r="39" spans="1:25" s="115" customFormat="1" ht="29.25" customHeight="1">
      <c r="A39" s="207"/>
      <c r="B39" s="203"/>
      <c r="C39" s="203"/>
      <c r="D39" s="193"/>
      <c r="E39" s="193"/>
      <c r="F39" s="189"/>
      <c r="G39" s="197"/>
      <c r="H39" s="194"/>
      <c r="I39" s="184"/>
      <c r="J39" s="194"/>
      <c r="K39" s="188"/>
      <c r="L39" s="188"/>
      <c r="M39" s="193"/>
      <c r="N39" s="191"/>
      <c r="O39" s="196"/>
      <c r="P39" s="204"/>
      <c r="Q39" s="177">
        <f>SUM(Table1[[#This Row],[DBB Claim Total]:[Reserve Total]])</f>
        <v>0</v>
      </c>
      <c r="R39" s="197"/>
      <c r="S39" s="113">
        <f t="shared" si="0"/>
        <v>0</v>
      </c>
      <c r="T39" s="191"/>
      <c r="U39" s="114">
        <f t="shared" si="4"/>
        <v>0</v>
      </c>
      <c r="V39" s="113">
        <f t="shared" si="2"/>
        <v>0</v>
      </c>
      <c r="W39" s="114">
        <f t="shared" si="5"/>
        <v>0</v>
      </c>
    </row>
    <row r="40" spans="1:25" s="115" customFormat="1" ht="29.25" customHeight="1">
      <c r="A40" s="207"/>
      <c r="B40" s="203"/>
      <c r="C40" s="203"/>
      <c r="D40" s="193"/>
      <c r="E40" s="193"/>
      <c r="F40" s="189"/>
      <c r="G40" s="197"/>
      <c r="H40" s="194"/>
      <c r="I40" s="188"/>
      <c r="J40" s="194"/>
      <c r="K40" s="188"/>
      <c r="L40" s="188"/>
      <c r="M40" s="193"/>
      <c r="N40" s="191"/>
      <c r="O40" s="196"/>
      <c r="P40" s="204"/>
      <c r="Q40" s="177">
        <f>SUM(Table1[[#This Row],[DBB Claim Total]:[Reserve Total]])</f>
        <v>0</v>
      </c>
      <c r="R40" s="197"/>
      <c r="S40" s="113">
        <f t="shared" si="0"/>
        <v>0</v>
      </c>
      <c r="T40" s="191"/>
      <c r="U40" s="114">
        <f t="shared" si="4"/>
        <v>0</v>
      </c>
      <c r="V40" s="113">
        <f t="shared" si="2"/>
        <v>0</v>
      </c>
      <c r="W40" s="114">
        <f t="shared" si="5"/>
        <v>0</v>
      </c>
    </row>
    <row r="41" spans="1:25" s="115" customFormat="1" ht="39" customHeight="1">
      <c r="A41" s="207"/>
      <c r="B41" s="203"/>
      <c r="C41" s="203"/>
      <c r="D41" s="195"/>
      <c r="E41" s="193"/>
      <c r="F41" s="189"/>
      <c r="G41" s="197"/>
      <c r="H41" s="194"/>
      <c r="I41" s="188"/>
      <c r="J41" s="194"/>
      <c r="K41" s="188"/>
      <c r="L41" s="188"/>
      <c r="M41" s="193"/>
      <c r="N41" s="191"/>
      <c r="O41" s="196"/>
      <c r="P41" s="204"/>
      <c r="Q41" s="177">
        <f>SUM(Table1[[#This Row],[DBB Claim Total]:[Reserve Total]])</f>
        <v>0</v>
      </c>
      <c r="R41" s="197"/>
      <c r="S41" s="119">
        <f t="shared" si="0"/>
        <v>0</v>
      </c>
      <c r="T41" s="200"/>
      <c r="U41" s="114">
        <f t="shared" si="4"/>
        <v>0</v>
      </c>
      <c r="V41" s="113">
        <f t="shared" si="2"/>
        <v>0</v>
      </c>
      <c r="W41" s="121">
        <f t="shared" si="5"/>
        <v>0</v>
      </c>
      <c r="X41" s="122"/>
      <c r="Y41" s="122"/>
    </row>
    <row r="42" spans="1:25" s="115" customFormat="1" ht="30.75" customHeight="1">
      <c r="A42" s="207"/>
      <c r="B42" s="203"/>
      <c r="C42" s="203"/>
      <c r="D42" s="189"/>
      <c r="E42" s="189"/>
      <c r="F42" s="188"/>
      <c r="G42" s="189"/>
      <c r="H42" s="188"/>
      <c r="I42" s="188"/>
      <c r="J42" s="181"/>
      <c r="K42" s="188"/>
      <c r="L42" s="188"/>
      <c r="M42" s="201"/>
      <c r="N42" s="191"/>
      <c r="O42" s="204"/>
      <c r="P42" s="204"/>
      <c r="Q42" s="177">
        <f>SUM(Table1[[#This Row],[DBB Claim Total]:[Reserve Total]])</f>
        <v>0</v>
      </c>
      <c r="R42" s="197"/>
      <c r="S42" s="119">
        <f t="shared" si="0"/>
        <v>0</v>
      </c>
      <c r="T42" s="200"/>
      <c r="U42" s="114">
        <f t="shared" si="4"/>
        <v>0</v>
      </c>
      <c r="V42" s="113">
        <f t="shared" si="2"/>
        <v>0</v>
      </c>
      <c r="W42" s="121">
        <f t="shared" si="5"/>
        <v>0</v>
      </c>
      <c r="X42" s="122"/>
      <c r="Y42" s="122"/>
    </row>
    <row r="43" spans="1:25" s="115" customFormat="1" ht="37.5" customHeight="1">
      <c r="A43" s="207"/>
      <c r="B43" s="203"/>
      <c r="C43" s="203"/>
      <c r="D43" s="195"/>
      <c r="E43" s="193"/>
      <c r="F43" s="189"/>
      <c r="G43" s="197"/>
      <c r="H43" s="194"/>
      <c r="I43" s="188"/>
      <c r="J43" s="194"/>
      <c r="K43" s="188"/>
      <c r="L43" s="188"/>
      <c r="M43" s="193"/>
      <c r="N43" s="191"/>
      <c r="O43" s="196"/>
      <c r="P43" s="204"/>
      <c r="Q43" s="177">
        <f>SUM(Table1[[#This Row],[DBB Claim Total]:[Reserve Total]])</f>
        <v>0</v>
      </c>
      <c r="R43" s="197"/>
      <c r="S43" s="119">
        <f t="shared" si="0"/>
        <v>0</v>
      </c>
      <c r="T43" s="200"/>
      <c r="U43" s="114">
        <f t="shared" si="4"/>
        <v>0</v>
      </c>
      <c r="V43" s="113">
        <f t="shared" si="2"/>
        <v>0</v>
      </c>
      <c r="W43" s="121">
        <f t="shared" si="5"/>
        <v>0</v>
      </c>
      <c r="X43" s="122"/>
      <c r="Y43" s="122"/>
    </row>
    <row r="44" spans="1:25" s="115" customFormat="1" ht="39" customHeight="1">
      <c r="A44" s="207"/>
      <c r="B44" s="203"/>
      <c r="C44" s="203"/>
      <c r="D44" s="195"/>
      <c r="E44" s="193"/>
      <c r="F44" s="189"/>
      <c r="G44" s="197"/>
      <c r="H44" s="194"/>
      <c r="I44" s="188"/>
      <c r="J44" s="194"/>
      <c r="K44" s="188"/>
      <c r="L44" s="188"/>
      <c r="M44" s="193"/>
      <c r="N44" s="191"/>
      <c r="O44" s="196"/>
      <c r="P44" s="204"/>
      <c r="Q44" s="177">
        <f>SUM(Table1[[#This Row],[DBB Claim Total]:[Reserve Total]])</f>
        <v>0</v>
      </c>
      <c r="R44" s="197"/>
      <c r="S44" s="119">
        <f t="shared" si="0"/>
        <v>0</v>
      </c>
      <c r="T44" s="200"/>
      <c r="U44" s="114">
        <f t="shared" si="4"/>
        <v>0</v>
      </c>
      <c r="V44" s="113">
        <f t="shared" si="2"/>
        <v>0</v>
      </c>
      <c r="W44" s="121">
        <f t="shared" si="5"/>
        <v>0</v>
      </c>
      <c r="X44" s="122"/>
      <c r="Y44" s="122"/>
    </row>
    <row r="45" spans="1:25" s="115" customFormat="1" ht="30.75" customHeight="1">
      <c r="A45" s="207"/>
      <c r="B45" s="203"/>
      <c r="C45" s="203"/>
      <c r="D45" s="195"/>
      <c r="E45" s="193"/>
      <c r="F45" s="189"/>
      <c r="G45" s="197"/>
      <c r="H45" s="194"/>
      <c r="I45" s="188"/>
      <c r="J45" s="194"/>
      <c r="K45" s="188"/>
      <c r="L45" s="188"/>
      <c r="M45" s="193"/>
      <c r="N45" s="191"/>
      <c r="O45" s="196"/>
      <c r="P45" s="204"/>
      <c r="Q45" s="177">
        <f>SUM(Table1[[#This Row],[DBB Claim Total]:[Reserve Total]])</f>
        <v>0</v>
      </c>
      <c r="R45" s="197"/>
      <c r="S45" s="119">
        <f t="shared" si="0"/>
        <v>0</v>
      </c>
      <c r="T45" s="200"/>
      <c r="U45" s="114">
        <f t="shared" si="4"/>
        <v>0</v>
      </c>
      <c r="V45" s="113">
        <f t="shared" si="2"/>
        <v>0</v>
      </c>
      <c r="W45" s="121">
        <f t="shared" si="5"/>
        <v>0</v>
      </c>
      <c r="X45" s="122"/>
      <c r="Y45" s="122"/>
    </row>
    <row r="46" spans="1:25" s="115" customFormat="1" ht="30.75" customHeight="1">
      <c r="A46" s="207"/>
      <c r="B46" s="203"/>
      <c r="C46" s="203"/>
      <c r="D46" s="195"/>
      <c r="E46" s="193"/>
      <c r="F46" s="189"/>
      <c r="G46" s="197"/>
      <c r="H46" s="194"/>
      <c r="I46" s="188"/>
      <c r="J46" s="194"/>
      <c r="K46" s="188"/>
      <c r="L46" s="188"/>
      <c r="M46" s="193"/>
      <c r="N46" s="191"/>
      <c r="O46" s="196"/>
      <c r="P46" s="204"/>
      <c r="Q46" s="177">
        <f>SUM(Table1[[#This Row],[DBB Claim Total]:[Reserve Total]])</f>
        <v>0</v>
      </c>
      <c r="R46" s="197"/>
      <c r="S46" s="119">
        <f t="shared" si="0"/>
        <v>0</v>
      </c>
      <c r="T46" s="200"/>
      <c r="U46" s="114">
        <f t="shared" si="4"/>
        <v>0</v>
      </c>
      <c r="V46" s="113">
        <f t="shared" si="2"/>
        <v>0</v>
      </c>
      <c r="W46" s="121">
        <f t="shared" si="5"/>
        <v>0</v>
      </c>
      <c r="X46" s="122"/>
      <c r="Y46" s="122"/>
    </row>
    <row r="47" spans="1:25" s="115" customFormat="1" ht="30.75" customHeight="1">
      <c r="A47" s="207"/>
      <c r="B47" s="203"/>
      <c r="C47" s="203"/>
      <c r="D47" s="195"/>
      <c r="E47" s="193"/>
      <c r="F47" s="189"/>
      <c r="G47" s="197"/>
      <c r="H47" s="194"/>
      <c r="I47" s="188"/>
      <c r="J47" s="194"/>
      <c r="K47" s="188"/>
      <c r="L47" s="188"/>
      <c r="M47" s="193"/>
      <c r="N47" s="191"/>
      <c r="O47" s="196"/>
      <c r="P47" s="204"/>
      <c r="Q47" s="177">
        <f>SUM(Table1[[#This Row],[DBB Claim Total]:[Reserve Total]])</f>
        <v>0</v>
      </c>
      <c r="R47" s="197"/>
      <c r="S47" s="119">
        <f t="shared" si="0"/>
        <v>0</v>
      </c>
      <c r="T47" s="200"/>
      <c r="U47" s="114">
        <f t="shared" si="4"/>
        <v>0</v>
      </c>
      <c r="V47" s="113">
        <f t="shared" si="2"/>
        <v>0</v>
      </c>
      <c r="W47" s="121">
        <f t="shared" si="5"/>
        <v>0</v>
      </c>
      <c r="X47" s="122"/>
      <c r="Y47" s="122"/>
    </row>
    <row r="48" spans="1:25" s="115" customFormat="1" ht="30.75" customHeight="1">
      <c r="A48" s="207"/>
      <c r="B48" s="203"/>
      <c r="C48" s="203"/>
      <c r="D48" s="195"/>
      <c r="E48" s="193"/>
      <c r="F48" s="189"/>
      <c r="G48" s="197"/>
      <c r="H48" s="194"/>
      <c r="I48" s="188"/>
      <c r="J48" s="194"/>
      <c r="K48" s="188"/>
      <c r="L48" s="188"/>
      <c r="M48" s="193"/>
      <c r="N48" s="191"/>
      <c r="O48" s="196"/>
      <c r="P48" s="204"/>
      <c r="Q48" s="177">
        <f>SUM(Table1[[#This Row],[DBB Claim Total]:[Reserve Total]])</f>
        <v>0</v>
      </c>
      <c r="R48" s="197"/>
      <c r="S48" s="119">
        <f t="shared" si="0"/>
        <v>0</v>
      </c>
      <c r="T48" s="200"/>
      <c r="U48" s="114">
        <f t="shared" si="4"/>
        <v>0</v>
      </c>
      <c r="V48" s="113">
        <f t="shared" si="2"/>
        <v>0</v>
      </c>
      <c r="W48" s="121">
        <f t="shared" si="5"/>
        <v>0</v>
      </c>
      <c r="X48" s="122"/>
      <c r="Y48" s="122"/>
    </row>
    <row r="49" spans="1:27" s="115" customFormat="1" ht="30.75" customHeight="1">
      <c r="A49" s="207"/>
      <c r="B49" s="203"/>
      <c r="C49" s="203"/>
      <c r="D49" s="195"/>
      <c r="E49" s="193"/>
      <c r="F49" s="189"/>
      <c r="G49" s="197"/>
      <c r="H49" s="194"/>
      <c r="I49" s="188"/>
      <c r="J49" s="194"/>
      <c r="K49" s="188"/>
      <c r="L49" s="188"/>
      <c r="M49" s="193"/>
      <c r="N49" s="191"/>
      <c r="O49" s="196"/>
      <c r="P49" s="204"/>
      <c r="Q49" s="177">
        <f>SUM(Table1[[#This Row],[DBB Claim Total]:[Reserve Total]])</f>
        <v>0</v>
      </c>
      <c r="R49" s="197"/>
      <c r="S49" s="119">
        <f t="shared" ref="S49:S80" si="6">IF(K49=$T$9,$U$9,IF(K49=$T$10,$U$10,IF(K49=$T$11,$U$11,IF(K49=$T$12,$U$12,$U$8))))</f>
        <v>0</v>
      </c>
      <c r="T49" s="200"/>
      <c r="U49" s="114">
        <f t="shared" si="4"/>
        <v>0</v>
      </c>
      <c r="V49" s="113">
        <f t="shared" ref="V49:V80" si="7">IF(K49=$T$9,$W$9,IF(K49=$T$10,$W$10,IF(K49=$T$11,$W$11,IF(K49=$T$12,$W$12,$W$8))))</f>
        <v>0</v>
      </c>
      <c r="W49" s="121">
        <f t="shared" si="5"/>
        <v>0</v>
      </c>
      <c r="X49" s="122"/>
      <c r="Y49" s="122"/>
    </row>
    <row r="50" spans="1:27" s="115" customFormat="1" ht="30.75" customHeight="1">
      <c r="A50" s="207"/>
      <c r="B50" s="203"/>
      <c r="C50" s="203"/>
      <c r="D50" s="195"/>
      <c r="E50" s="193"/>
      <c r="F50" s="189"/>
      <c r="G50" s="197"/>
      <c r="H50" s="194"/>
      <c r="I50" s="188"/>
      <c r="J50" s="194"/>
      <c r="K50" s="188"/>
      <c r="L50" s="188"/>
      <c r="M50" s="193"/>
      <c r="N50" s="191"/>
      <c r="O50" s="196"/>
      <c r="P50" s="204"/>
      <c r="Q50" s="177">
        <f>SUM(Table1[[#This Row],[DBB Claim Total]:[Reserve Total]])</f>
        <v>0</v>
      </c>
      <c r="R50" s="197"/>
      <c r="S50" s="119">
        <f t="shared" si="6"/>
        <v>0</v>
      </c>
      <c r="T50" s="200"/>
      <c r="U50" s="114">
        <f t="shared" si="4"/>
        <v>0</v>
      </c>
      <c r="V50" s="113">
        <f t="shared" si="7"/>
        <v>0</v>
      </c>
      <c r="W50" s="121">
        <f t="shared" si="5"/>
        <v>0</v>
      </c>
      <c r="X50" s="122"/>
      <c r="Y50" s="122"/>
      <c r="AA50" s="123"/>
    </row>
    <row r="51" spans="1:27" s="115" customFormat="1" ht="30.75" customHeight="1">
      <c r="A51" s="207"/>
      <c r="B51" s="203"/>
      <c r="C51" s="203"/>
      <c r="D51" s="195"/>
      <c r="E51" s="193"/>
      <c r="F51" s="189"/>
      <c r="G51" s="197"/>
      <c r="H51" s="194"/>
      <c r="I51" s="188"/>
      <c r="J51" s="194"/>
      <c r="K51" s="188"/>
      <c r="L51" s="188"/>
      <c r="M51" s="193"/>
      <c r="N51" s="191"/>
      <c r="O51" s="196"/>
      <c r="P51" s="204"/>
      <c r="Q51" s="177">
        <f>SUM(Table1[[#This Row],[DBB Claim Total]:[Reserve Total]])</f>
        <v>0</v>
      </c>
      <c r="R51" s="197"/>
      <c r="S51" s="119">
        <f t="shared" si="6"/>
        <v>0</v>
      </c>
      <c r="T51" s="200"/>
      <c r="U51" s="114">
        <f t="shared" si="4"/>
        <v>0</v>
      </c>
      <c r="V51" s="113">
        <f t="shared" si="7"/>
        <v>0</v>
      </c>
      <c r="W51" s="121">
        <f t="shared" si="5"/>
        <v>0</v>
      </c>
      <c r="X51" s="122"/>
      <c r="Y51" s="124"/>
      <c r="Z51" s="124"/>
      <c r="AA51" s="123"/>
    </row>
    <row r="52" spans="1:27" s="115" customFormat="1" ht="30.75" customHeight="1">
      <c r="A52" s="207"/>
      <c r="B52" s="203"/>
      <c r="C52" s="203"/>
      <c r="D52" s="195"/>
      <c r="E52" s="193"/>
      <c r="F52" s="189"/>
      <c r="G52" s="197"/>
      <c r="H52" s="194"/>
      <c r="I52" s="188"/>
      <c r="J52" s="194"/>
      <c r="K52" s="188"/>
      <c r="L52" s="188"/>
      <c r="M52" s="193"/>
      <c r="N52" s="191"/>
      <c r="O52" s="196"/>
      <c r="P52" s="204"/>
      <c r="Q52" s="177">
        <f>SUM(Table1[[#This Row],[DBB Claim Total]:[Reserve Total]])</f>
        <v>0</v>
      </c>
      <c r="R52" s="197"/>
      <c r="S52" s="119">
        <f t="shared" si="6"/>
        <v>0</v>
      </c>
      <c r="T52" s="200"/>
      <c r="U52" s="114">
        <f t="shared" si="4"/>
        <v>0</v>
      </c>
      <c r="V52" s="113">
        <f t="shared" si="7"/>
        <v>0</v>
      </c>
      <c r="W52" s="121">
        <f t="shared" si="5"/>
        <v>0</v>
      </c>
      <c r="X52" s="122"/>
      <c r="Y52" s="124"/>
      <c r="Z52" s="124"/>
      <c r="AA52" s="123"/>
    </row>
    <row r="53" spans="1:27" s="115" customFormat="1" ht="30.75" customHeight="1">
      <c r="A53" s="207"/>
      <c r="B53" s="203"/>
      <c r="C53" s="203"/>
      <c r="D53" s="195"/>
      <c r="E53" s="193"/>
      <c r="F53" s="189"/>
      <c r="G53" s="197"/>
      <c r="H53" s="194"/>
      <c r="I53" s="188"/>
      <c r="J53" s="194"/>
      <c r="K53" s="188"/>
      <c r="L53" s="188"/>
      <c r="M53" s="193"/>
      <c r="N53" s="191"/>
      <c r="O53" s="196"/>
      <c r="P53" s="204"/>
      <c r="Q53" s="177">
        <f>SUM(Table1[[#This Row],[DBB Claim Total]:[Reserve Total]])</f>
        <v>0</v>
      </c>
      <c r="R53" s="197"/>
      <c r="S53" s="119">
        <f t="shared" si="6"/>
        <v>0</v>
      </c>
      <c r="T53" s="200"/>
      <c r="U53" s="114">
        <f t="shared" si="4"/>
        <v>0</v>
      </c>
      <c r="V53" s="113">
        <f t="shared" si="7"/>
        <v>0</v>
      </c>
      <c r="W53" s="121">
        <f t="shared" si="5"/>
        <v>0</v>
      </c>
      <c r="X53" s="122"/>
      <c r="Y53" s="122"/>
    </row>
    <row r="54" spans="1:27" s="115" customFormat="1" ht="30.75" customHeight="1">
      <c r="A54" s="207"/>
      <c r="B54" s="203"/>
      <c r="C54" s="203"/>
      <c r="D54" s="195"/>
      <c r="E54" s="193"/>
      <c r="F54" s="189"/>
      <c r="G54" s="197"/>
      <c r="H54" s="194"/>
      <c r="I54" s="188"/>
      <c r="J54" s="194"/>
      <c r="K54" s="188"/>
      <c r="L54" s="188"/>
      <c r="M54" s="193"/>
      <c r="N54" s="191"/>
      <c r="O54" s="196"/>
      <c r="P54" s="204"/>
      <c r="Q54" s="177">
        <f>SUM(Table1[[#This Row],[DBB Claim Total]:[Reserve Total]])</f>
        <v>0</v>
      </c>
      <c r="R54" s="197"/>
      <c r="S54" s="119">
        <f t="shared" si="6"/>
        <v>0</v>
      </c>
      <c r="T54" s="200"/>
      <c r="U54" s="114">
        <f t="shared" si="4"/>
        <v>0</v>
      </c>
      <c r="V54" s="113">
        <f t="shared" si="7"/>
        <v>0</v>
      </c>
      <c r="W54" s="121">
        <f t="shared" si="5"/>
        <v>0</v>
      </c>
      <c r="X54" s="122"/>
      <c r="Y54" s="122"/>
    </row>
    <row r="55" spans="1:27" s="115" customFormat="1" ht="30.75" customHeight="1">
      <c r="A55" s="207"/>
      <c r="B55" s="203"/>
      <c r="C55" s="203"/>
      <c r="D55" s="189"/>
      <c r="E55" s="189"/>
      <c r="F55" s="188"/>
      <c r="G55" s="197"/>
      <c r="H55" s="194"/>
      <c r="I55" s="188"/>
      <c r="J55" s="181"/>
      <c r="K55" s="188"/>
      <c r="L55" s="188"/>
      <c r="M55" s="201"/>
      <c r="N55" s="191"/>
      <c r="O55" s="204"/>
      <c r="P55" s="204"/>
      <c r="Q55" s="177">
        <f>SUM(Table1[[#This Row],[DBB Claim Total]:[Reserve Total]])</f>
        <v>0</v>
      </c>
      <c r="R55" s="197"/>
      <c r="S55" s="119">
        <f t="shared" si="6"/>
        <v>0</v>
      </c>
      <c r="T55" s="200"/>
      <c r="U55" s="114">
        <f t="shared" si="4"/>
        <v>0</v>
      </c>
      <c r="V55" s="113">
        <f t="shared" si="7"/>
        <v>0</v>
      </c>
      <c r="W55" s="121">
        <f t="shared" si="5"/>
        <v>0</v>
      </c>
      <c r="X55" s="122"/>
      <c r="Y55" s="122"/>
    </row>
    <row r="56" spans="1:27" s="115" customFormat="1" ht="30.75" customHeight="1">
      <c r="A56" s="207"/>
      <c r="B56" s="203"/>
      <c r="C56" s="203"/>
      <c r="D56" s="195"/>
      <c r="E56" s="193"/>
      <c r="F56" s="189"/>
      <c r="G56" s="197"/>
      <c r="H56" s="194"/>
      <c r="I56" s="210"/>
      <c r="J56" s="194"/>
      <c r="K56" s="188"/>
      <c r="L56" s="188"/>
      <c r="M56" s="193"/>
      <c r="N56" s="191"/>
      <c r="O56" s="196"/>
      <c r="P56" s="204"/>
      <c r="Q56" s="177">
        <f>SUM(Table1[[#This Row],[DBB Claim Total]:[Reserve Total]])</f>
        <v>0</v>
      </c>
      <c r="R56" s="197"/>
      <c r="S56" s="119">
        <f t="shared" si="6"/>
        <v>0</v>
      </c>
      <c r="T56" s="200"/>
      <c r="U56" s="114">
        <f t="shared" si="4"/>
        <v>0</v>
      </c>
      <c r="V56" s="113">
        <f t="shared" si="7"/>
        <v>0</v>
      </c>
      <c r="W56" s="121">
        <f t="shared" si="5"/>
        <v>0</v>
      </c>
      <c r="X56" s="122"/>
      <c r="Y56" s="122"/>
    </row>
    <row r="57" spans="1:27" s="115" customFormat="1" ht="30.75" customHeight="1">
      <c r="A57" s="207"/>
      <c r="B57" s="203"/>
      <c r="C57" s="203"/>
      <c r="D57" s="193"/>
      <c r="E57" s="189"/>
      <c r="F57" s="189"/>
      <c r="G57" s="194"/>
      <c r="H57" s="188"/>
      <c r="I57" s="184"/>
      <c r="J57" s="188"/>
      <c r="K57" s="188"/>
      <c r="L57" s="193"/>
      <c r="M57" s="189"/>
      <c r="N57" s="196"/>
      <c r="O57" s="196"/>
      <c r="P57" s="204"/>
      <c r="Q57" s="177">
        <f>SUM(Table1[[#This Row],[DBB Claim Total]:[Reserve Total]])</f>
        <v>0</v>
      </c>
      <c r="R57" s="197"/>
      <c r="S57" s="119">
        <f t="shared" si="6"/>
        <v>0</v>
      </c>
      <c r="T57" s="200"/>
      <c r="U57" s="114">
        <f t="shared" si="4"/>
        <v>0</v>
      </c>
      <c r="V57" s="113">
        <f t="shared" si="7"/>
        <v>0</v>
      </c>
      <c r="W57" s="121">
        <f t="shared" si="5"/>
        <v>0</v>
      </c>
      <c r="X57" s="122"/>
      <c r="Y57" s="122"/>
    </row>
    <row r="58" spans="1:27" s="115" customFormat="1" ht="30.75" customHeight="1">
      <c r="A58" s="207"/>
      <c r="B58" s="203"/>
      <c r="C58" s="203"/>
      <c r="D58" s="195"/>
      <c r="E58" s="193"/>
      <c r="F58" s="188"/>
      <c r="G58" s="194"/>
      <c r="H58" s="194"/>
      <c r="I58" s="188"/>
      <c r="J58" s="194"/>
      <c r="K58" s="188"/>
      <c r="L58" s="188"/>
      <c r="M58" s="189"/>
      <c r="N58" s="191"/>
      <c r="O58" s="196"/>
      <c r="P58" s="204"/>
      <c r="Q58" s="177">
        <f>SUM(Table1[[#This Row],[DBB Claim Total]:[Reserve Total]])</f>
        <v>0</v>
      </c>
      <c r="R58" s="197"/>
      <c r="S58" s="119">
        <f t="shared" si="6"/>
        <v>0</v>
      </c>
      <c r="T58" s="200"/>
      <c r="U58" s="114">
        <f t="shared" si="4"/>
        <v>0</v>
      </c>
      <c r="V58" s="113">
        <f t="shared" si="7"/>
        <v>0</v>
      </c>
      <c r="W58" s="121">
        <f t="shared" si="5"/>
        <v>0</v>
      </c>
      <c r="X58" s="122"/>
      <c r="Y58" s="122"/>
    </row>
    <row r="59" spans="1:27" s="115" customFormat="1" ht="30.75" customHeight="1">
      <c r="A59" s="207"/>
      <c r="B59" s="203"/>
      <c r="C59" s="203"/>
      <c r="D59" s="195"/>
      <c r="E59" s="193"/>
      <c r="F59" s="194"/>
      <c r="G59" s="198"/>
      <c r="H59" s="194"/>
      <c r="I59" s="188"/>
      <c r="J59" s="194"/>
      <c r="K59" s="188"/>
      <c r="L59" s="188"/>
      <c r="M59" s="189"/>
      <c r="N59" s="191"/>
      <c r="O59" s="196"/>
      <c r="P59" s="204"/>
      <c r="Q59" s="177">
        <f>SUM(Table1[[#This Row],[DBB Claim Total]:[Reserve Total]])</f>
        <v>0</v>
      </c>
      <c r="R59" s="197"/>
      <c r="S59" s="119">
        <f t="shared" si="6"/>
        <v>0</v>
      </c>
      <c r="T59" s="200"/>
      <c r="U59" s="114">
        <f t="shared" si="4"/>
        <v>0</v>
      </c>
      <c r="V59" s="113">
        <f t="shared" si="7"/>
        <v>0</v>
      </c>
      <c r="W59" s="121">
        <f t="shared" si="5"/>
        <v>0</v>
      </c>
      <c r="X59" s="122"/>
      <c r="Y59" s="122"/>
    </row>
    <row r="60" spans="1:27" s="115" customFormat="1" ht="30.75" customHeight="1">
      <c r="A60" s="207"/>
      <c r="B60" s="203"/>
      <c r="C60" s="203"/>
      <c r="D60" s="195"/>
      <c r="E60" s="193"/>
      <c r="F60" s="189"/>
      <c r="G60" s="197"/>
      <c r="H60" s="194"/>
      <c r="I60" s="188"/>
      <c r="J60" s="194"/>
      <c r="K60" s="188"/>
      <c r="L60" s="188"/>
      <c r="M60" s="193"/>
      <c r="N60" s="191"/>
      <c r="O60" s="196"/>
      <c r="P60" s="204"/>
      <c r="Q60" s="177">
        <f>SUM(Table1[[#This Row],[DBB Claim Total]:[Reserve Total]])</f>
        <v>0</v>
      </c>
      <c r="R60" s="197"/>
      <c r="S60" s="119">
        <f t="shared" si="6"/>
        <v>0</v>
      </c>
      <c r="T60" s="200"/>
      <c r="U60" s="114">
        <f t="shared" ref="U60:U91" si="8">IF(Q60&lt;(IF(ISBLANK(T60),S60,S60*T60)),0,Q60-(IF(ISBLANK(T60),S60,S60*T60)))</f>
        <v>0</v>
      </c>
      <c r="V60" s="113">
        <f t="shared" si="7"/>
        <v>0</v>
      </c>
      <c r="W60" s="121">
        <f t="shared" ref="W60:W91" si="9">IF(Q60&lt;(IF(ISBLANK(T60),V60,V60*T60)),0,Q60-(IF(ISBLANK(T60),V60,V60*T60)))</f>
        <v>0</v>
      </c>
      <c r="X60" s="122"/>
      <c r="Y60" s="122"/>
    </row>
    <row r="61" spans="1:27" s="115" customFormat="1" ht="30.75" customHeight="1">
      <c r="A61" s="207"/>
      <c r="B61" s="203"/>
      <c r="C61" s="203"/>
      <c r="D61" s="195"/>
      <c r="E61" s="193"/>
      <c r="F61" s="189"/>
      <c r="G61" s="197"/>
      <c r="H61" s="194"/>
      <c r="I61" s="210"/>
      <c r="J61" s="194"/>
      <c r="K61" s="188"/>
      <c r="L61" s="188"/>
      <c r="M61" s="193"/>
      <c r="N61" s="191"/>
      <c r="O61" s="196"/>
      <c r="P61" s="204"/>
      <c r="Q61" s="177">
        <f>SUM(Table1[[#This Row],[DBB Claim Total]:[Reserve Total]])</f>
        <v>0</v>
      </c>
      <c r="R61" s="197"/>
      <c r="S61" s="119">
        <f t="shared" si="6"/>
        <v>0</v>
      </c>
      <c r="T61" s="200"/>
      <c r="U61" s="114">
        <f t="shared" si="8"/>
        <v>0</v>
      </c>
      <c r="V61" s="113">
        <f t="shared" si="7"/>
        <v>0</v>
      </c>
      <c r="W61" s="121">
        <f t="shared" si="9"/>
        <v>0</v>
      </c>
      <c r="X61" s="122"/>
      <c r="Y61" s="122"/>
    </row>
    <row r="62" spans="1:27" s="115" customFormat="1" ht="30.75" customHeight="1">
      <c r="A62" s="207"/>
      <c r="B62" s="203"/>
      <c r="C62" s="203"/>
      <c r="D62" s="195"/>
      <c r="E62" s="193"/>
      <c r="F62" s="188"/>
      <c r="G62" s="198"/>
      <c r="H62" s="194"/>
      <c r="I62" s="188"/>
      <c r="J62" s="194"/>
      <c r="K62" s="188"/>
      <c r="L62" s="188"/>
      <c r="M62" s="193"/>
      <c r="N62" s="191"/>
      <c r="O62" s="196"/>
      <c r="P62" s="204"/>
      <c r="Q62" s="177">
        <f>SUM(Table1[[#This Row],[DBB Claim Total]:[Reserve Total]])</f>
        <v>0</v>
      </c>
      <c r="R62" s="197"/>
      <c r="S62" s="119">
        <f t="shared" si="6"/>
        <v>0</v>
      </c>
      <c r="T62" s="200"/>
      <c r="U62" s="114">
        <f t="shared" si="8"/>
        <v>0</v>
      </c>
      <c r="V62" s="113">
        <f t="shared" si="7"/>
        <v>0</v>
      </c>
      <c r="W62" s="121">
        <f t="shared" si="9"/>
        <v>0</v>
      </c>
      <c r="X62" s="122"/>
      <c r="Y62" s="122"/>
    </row>
    <row r="63" spans="1:27" s="115" customFormat="1" ht="30.75" customHeight="1">
      <c r="A63" s="207"/>
      <c r="B63" s="203"/>
      <c r="C63" s="203"/>
      <c r="D63" s="195"/>
      <c r="E63" s="193"/>
      <c r="F63" s="198"/>
      <c r="G63" s="198"/>
      <c r="H63" s="194"/>
      <c r="I63" s="188"/>
      <c r="J63" s="194"/>
      <c r="K63" s="188"/>
      <c r="L63" s="188"/>
      <c r="M63" s="193"/>
      <c r="N63" s="191"/>
      <c r="O63" s="196"/>
      <c r="P63" s="204"/>
      <c r="Q63" s="177">
        <f>SUM(Table1[[#This Row],[DBB Claim Total]:[Reserve Total]])</f>
        <v>0</v>
      </c>
      <c r="R63" s="197"/>
      <c r="S63" s="119">
        <f t="shared" si="6"/>
        <v>0</v>
      </c>
      <c r="T63" s="200"/>
      <c r="U63" s="114">
        <f t="shared" si="8"/>
        <v>0</v>
      </c>
      <c r="V63" s="113">
        <f t="shared" si="7"/>
        <v>0</v>
      </c>
      <c r="W63" s="121">
        <f t="shared" si="9"/>
        <v>0</v>
      </c>
      <c r="X63" s="122"/>
      <c r="Y63" s="122"/>
    </row>
    <row r="64" spans="1:27" s="115" customFormat="1" ht="30.75" customHeight="1">
      <c r="A64" s="207"/>
      <c r="B64" s="203"/>
      <c r="C64" s="203"/>
      <c r="D64" s="195"/>
      <c r="E64" s="193"/>
      <c r="F64" s="188"/>
      <c r="G64" s="198"/>
      <c r="H64" s="194"/>
      <c r="I64" s="188"/>
      <c r="J64" s="194"/>
      <c r="K64" s="188"/>
      <c r="L64" s="188"/>
      <c r="M64" s="193"/>
      <c r="N64" s="191"/>
      <c r="O64" s="196"/>
      <c r="P64" s="204"/>
      <c r="Q64" s="177">
        <f>SUM(Table1[[#This Row],[DBB Claim Total]:[Reserve Total]])</f>
        <v>0</v>
      </c>
      <c r="R64" s="197"/>
      <c r="S64" s="119">
        <f t="shared" si="6"/>
        <v>0</v>
      </c>
      <c r="T64" s="200"/>
      <c r="U64" s="114">
        <f t="shared" si="8"/>
        <v>0</v>
      </c>
      <c r="V64" s="113">
        <f t="shared" si="7"/>
        <v>0</v>
      </c>
      <c r="W64" s="121">
        <f t="shared" si="9"/>
        <v>0</v>
      </c>
      <c r="X64" s="122"/>
      <c r="Y64" s="122"/>
    </row>
    <row r="65" spans="1:25" s="115" customFormat="1" ht="30.75" customHeight="1">
      <c r="A65" s="207"/>
      <c r="B65" s="203"/>
      <c r="C65" s="203"/>
      <c r="D65" s="195"/>
      <c r="E65" s="193"/>
      <c r="F65" s="198"/>
      <c r="G65" s="198"/>
      <c r="H65" s="194"/>
      <c r="I65" s="188"/>
      <c r="J65" s="194"/>
      <c r="K65" s="188"/>
      <c r="L65" s="188"/>
      <c r="M65" s="193"/>
      <c r="N65" s="191"/>
      <c r="O65" s="196"/>
      <c r="P65" s="204"/>
      <c r="Q65" s="177">
        <f>SUM(Table1[[#This Row],[DBB Claim Total]:[Reserve Total]])</f>
        <v>0</v>
      </c>
      <c r="R65" s="197"/>
      <c r="S65" s="119">
        <f t="shared" si="6"/>
        <v>0</v>
      </c>
      <c r="T65" s="200"/>
      <c r="U65" s="114">
        <f t="shared" si="8"/>
        <v>0</v>
      </c>
      <c r="V65" s="113">
        <f t="shared" si="7"/>
        <v>0</v>
      </c>
      <c r="W65" s="121">
        <f t="shared" si="9"/>
        <v>0</v>
      </c>
      <c r="X65" s="122"/>
      <c r="Y65" s="122"/>
    </row>
    <row r="66" spans="1:25" s="115" customFormat="1" ht="30.75" customHeight="1">
      <c r="A66" s="188"/>
      <c r="B66" s="203"/>
      <c r="C66" s="203"/>
      <c r="D66" s="179"/>
      <c r="E66" s="178"/>
      <c r="F66" s="188"/>
      <c r="G66" s="208"/>
      <c r="H66" s="176"/>
      <c r="I66" s="188"/>
      <c r="J66" s="176"/>
      <c r="K66" s="188"/>
      <c r="L66" s="188"/>
      <c r="M66" s="193"/>
      <c r="N66" s="191"/>
      <c r="O66" s="177"/>
      <c r="P66" s="205"/>
      <c r="Q66" s="177">
        <f>SUM(Table1[[#This Row],[DBB Claim Total]:[Reserve Total]])</f>
        <v>0</v>
      </c>
      <c r="R66" s="180"/>
      <c r="S66" s="119">
        <f t="shared" si="6"/>
        <v>0</v>
      </c>
      <c r="T66" s="200"/>
      <c r="U66" s="114">
        <f t="shared" si="8"/>
        <v>0</v>
      </c>
      <c r="V66" s="113">
        <f t="shared" si="7"/>
        <v>0</v>
      </c>
      <c r="W66" s="121">
        <f t="shared" si="9"/>
        <v>0</v>
      </c>
      <c r="X66" s="122"/>
      <c r="Y66" s="122"/>
    </row>
    <row r="67" spans="1:25" s="115" customFormat="1" ht="30.75" customHeight="1">
      <c r="A67" s="188"/>
      <c r="B67" s="203"/>
      <c r="C67" s="203"/>
      <c r="D67" s="179"/>
      <c r="E67" s="178"/>
      <c r="F67" s="178"/>
      <c r="G67" s="180"/>
      <c r="H67" s="176"/>
      <c r="I67" s="188"/>
      <c r="J67" s="211"/>
      <c r="K67" s="188"/>
      <c r="L67" s="188"/>
      <c r="M67" s="193"/>
      <c r="N67" s="191"/>
      <c r="O67" s="205"/>
      <c r="P67" s="205"/>
      <c r="Q67" s="177">
        <f>SUM(Table1[[#This Row],[DBB Claim Total]:[Reserve Total]])</f>
        <v>0</v>
      </c>
      <c r="R67" s="180"/>
      <c r="S67" s="119">
        <f t="shared" si="6"/>
        <v>0</v>
      </c>
      <c r="T67" s="200"/>
      <c r="U67" s="114">
        <f t="shared" si="8"/>
        <v>0</v>
      </c>
      <c r="V67" s="113">
        <f t="shared" si="7"/>
        <v>0</v>
      </c>
      <c r="W67" s="121">
        <f t="shared" si="9"/>
        <v>0</v>
      </c>
      <c r="X67" s="122"/>
      <c r="Y67" s="122"/>
    </row>
    <row r="68" spans="1:25" s="115" customFormat="1" ht="30.75" customHeight="1">
      <c r="A68" s="207"/>
      <c r="B68" s="176"/>
      <c r="C68" s="176"/>
      <c r="D68" s="195"/>
      <c r="E68" s="193"/>
      <c r="F68" s="189"/>
      <c r="G68" s="197"/>
      <c r="H68" s="194"/>
      <c r="I68" s="188"/>
      <c r="J68" s="194"/>
      <c r="K68" s="188"/>
      <c r="L68" s="188"/>
      <c r="M68" s="209"/>
      <c r="N68" s="204"/>
      <c r="O68" s="204"/>
      <c r="P68" s="205"/>
      <c r="Q68" s="177">
        <f>SUM(Table1[[#This Row],[DBB Claim Total]:[Reserve Total]])</f>
        <v>0</v>
      </c>
      <c r="R68" s="180"/>
      <c r="S68" s="119">
        <f t="shared" si="6"/>
        <v>0</v>
      </c>
      <c r="T68" s="200"/>
      <c r="U68" s="114">
        <f t="shared" si="8"/>
        <v>0</v>
      </c>
      <c r="V68" s="113">
        <f t="shared" si="7"/>
        <v>0</v>
      </c>
      <c r="W68" s="121">
        <f t="shared" si="9"/>
        <v>0</v>
      </c>
      <c r="X68" s="122"/>
      <c r="Y68" s="122"/>
    </row>
    <row r="69" spans="1:25" s="115" customFormat="1" ht="30.75" customHeight="1">
      <c r="A69" s="188"/>
      <c r="B69" s="176"/>
      <c r="C69" s="176"/>
      <c r="D69" s="179"/>
      <c r="E69" s="178"/>
      <c r="F69" s="189"/>
      <c r="G69" s="180"/>
      <c r="H69" s="176"/>
      <c r="I69" s="188"/>
      <c r="J69" s="176"/>
      <c r="K69" s="188"/>
      <c r="L69" s="188"/>
      <c r="M69" s="209"/>
      <c r="N69" s="205"/>
      <c r="O69" s="205"/>
      <c r="P69" s="205"/>
      <c r="Q69" s="177">
        <f>SUM(Table1[[#This Row],[DBB Claim Total]:[Reserve Total]])</f>
        <v>0</v>
      </c>
      <c r="R69" s="180"/>
      <c r="S69" s="119">
        <f t="shared" si="6"/>
        <v>0</v>
      </c>
      <c r="T69" s="200"/>
      <c r="U69" s="114">
        <f t="shared" si="8"/>
        <v>0</v>
      </c>
      <c r="V69" s="113">
        <f t="shared" si="7"/>
        <v>0</v>
      </c>
      <c r="W69" s="121">
        <f t="shared" si="9"/>
        <v>0</v>
      </c>
      <c r="X69" s="122"/>
      <c r="Y69" s="122"/>
    </row>
    <row r="70" spans="1:25" s="115" customFormat="1" ht="30.75" customHeight="1">
      <c r="A70" s="188"/>
      <c r="B70" s="203"/>
      <c r="C70" s="203"/>
      <c r="D70" s="179"/>
      <c r="E70" s="178"/>
      <c r="F70" s="189"/>
      <c r="G70" s="180"/>
      <c r="H70" s="176"/>
      <c r="I70" s="188"/>
      <c r="J70" s="176"/>
      <c r="K70" s="188"/>
      <c r="L70" s="188"/>
      <c r="M70" s="206"/>
      <c r="N70" s="191"/>
      <c r="O70" s="205"/>
      <c r="P70" s="205"/>
      <c r="Q70" s="177">
        <f>SUM(Table1[[#This Row],[DBB Claim Total]:[Reserve Total]])</f>
        <v>0</v>
      </c>
      <c r="R70" s="180"/>
      <c r="S70" s="119">
        <f t="shared" si="6"/>
        <v>0</v>
      </c>
      <c r="T70" s="200"/>
      <c r="U70" s="114">
        <f t="shared" si="8"/>
        <v>0</v>
      </c>
      <c r="V70" s="113">
        <f t="shared" si="7"/>
        <v>0</v>
      </c>
      <c r="W70" s="121">
        <f t="shared" si="9"/>
        <v>0</v>
      </c>
      <c r="X70" s="122"/>
      <c r="Y70" s="122"/>
    </row>
    <row r="71" spans="1:25" s="115" customFormat="1" ht="30.75" customHeight="1">
      <c r="A71" s="188"/>
      <c r="B71" s="203"/>
      <c r="C71" s="203"/>
      <c r="D71" s="179"/>
      <c r="E71" s="178"/>
      <c r="F71" s="189"/>
      <c r="G71" s="180"/>
      <c r="H71" s="176"/>
      <c r="I71" s="188"/>
      <c r="J71" s="176"/>
      <c r="K71" s="188"/>
      <c r="L71" s="188"/>
      <c r="M71" s="206"/>
      <c r="N71" s="191"/>
      <c r="O71" s="205"/>
      <c r="P71" s="205"/>
      <c r="Q71" s="177">
        <f>SUM(Table1[[#This Row],[DBB Claim Total]:[Reserve Total]])</f>
        <v>0</v>
      </c>
      <c r="R71" s="180"/>
      <c r="S71" s="119">
        <f t="shared" si="6"/>
        <v>0</v>
      </c>
      <c r="T71" s="200"/>
      <c r="U71" s="114">
        <f t="shared" si="8"/>
        <v>0</v>
      </c>
      <c r="V71" s="113">
        <f t="shared" si="7"/>
        <v>0</v>
      </c>
      <c r="W71" s="121">
        <f t="shared" si="9"/>
        <v>0</v>
      </c>
      <c r="X71" s="122"/>
      <c r="Y71" s="122"/>
    </row>
    <row r="72" spans="1:25" s="115" customFormat="1" ht="30.75" customHeight="1">
      <c r="A72" s="188"/>
      <c r="B72" s="203"/>
      <c r="C72" s="203"/>
      <c r="D72" s="179"/>
      <c r="E72" s="193"/>
      <c r="F72" s="178"/>
      <c r="G72" s="180"/>
      <c r="H72" s="176"/>
      <c r="I72" s="188"/>
      <c r="J72" s="176"/>
      <c r="K72" s="188"/>
      <c r="L72" s="188"/>
      <c r="M72" s="206"/>
      <c r="N72" s="191"/>
      <c r="O72" s="205"/>
      <c r="P72" s="205"/>
      <c r="Q72" s="177">
        <f>SUM(Table1[[#This Row],[DBB Claim Total]:[Reserve Total]])</f>
        <v>0</v>
      </c>
      <c r="R72" s="180"/>
      <c r="S72" s="119">
        <f t="shared" si="6"/>
        <v>0</v>
      </c>
      <c r="T72" s="200"/>
      <c r="U72" s="114">
        <f t="shared" si="8"/>
        <v>0</v>
      </c>
      <c r="V72" s="113">
        <f t="shared" si="7"/>
        <v>0</v>
      </c>
      <c r="W72" s="121">
        <f t="shared" si="9"/>
        <v>0</v>
      </c>
      <c r="X72" s="122"/>
      <c r="Y72" s="122"/>
    </row>
    <row r="73" spans="1:25" s="115" customFormat="1" ht="30.75" customHeight="1">
      <c r="A73" s="188"/>
      <c r="B73" s="203"/>
      <c r="C73" s="203"/>
      <c r="D73" s="179"/>
      <c r="E73" s="178"/>
      <c r="F73" s="189"/>
      <c r="G73" s="198"/>
      <c r="H73" s="194"/>
      <c r="I73" s="188"/>
      <c r="J73" s="176"/>
      <c r="K73" s="188"/>
      <c r="L73" s="188"/>
      <c r="M73" s="206"/>
      <c r="N73" s="191"/>
      <c r="O73" s="205"/>
      <c r="P73" s="205"/>
      <c r="Q73" s="177">
        <f>SUM(Table1[[#This Row],[DBB Claim Total]:[Reserve Total]])</f>
        <v>0</v>
      </c>
      <c r="R73" s="180"/>
      <c r="S73" s="119">
        <f t="shared" si="6"/>
        <v>0</v>
      </c>
      <c r="T73" s="200"/>
      <c r="U73" s="114">
        <f t="shared" si="8"/>
        <v>0</v>
      </c>
      <c r="V73" s="113">
        <f t="shared" si="7"/>
        <v>0</v>
      </c>
      <c r="W73" s="121">
        <f t="shared" si="9"/>
        <v>0</v>
      </c>
      <c r="X73" s="122"/>
      <c r="Y73" s="122"/>
    </row>
    <row r="74" spans="1:25" s="115" customFormat="1" ht="30.75" customHeight="1">
      <c r="A74" s="188"/>
      <c r="B74" s="203"/>
      <c r="C74" s="203"/>
      <c r="D74" s="179"/>
      <c r="E74" s="178"/>
      <c r="F74" s="189"/>
      <c r="G74" s="198"/>
      <c r="H74" s="194"/>
      <c r="I74" s="188"/>
      <c r="J74" s="176"/>
      <c r="K74" s="188"/>
      <c r="L74" s="188"/>
      <c r="M74" s="206"/>
      <c r="N74" s="191"/>
      <c r="O74" s="205"/>
      <c r="P74" s="205"/>
      <c r="Q74" s="177">
        <f>SUM(Table1[[#This Row],[DBB Claim Total]:[Reserve Total]])</f>
        <v>0</v>
      </c>
      <c r="R74" s="180"/>
      <c r="S74" s="119">
        <f t="shared" si="6"/>
        <v>0</v>
      </c>
      <c r="T74" s="200"/>
      <c r="U74" s="114">
        <f t="shared" si="8"/>
        <v>0</v>
      </c>
      <c r="V74" s="113">
        <f t="shared" si="7"/>
        <v>0</v>
      </c>
      <c r="W74" s="121">
        <f t="shared" si="9"/>
        <v>0</v>
      </c>
      <c r="X74" s="122"/>
      <c r="Y74" s="122"/>
    </row>
    <row r="75" spans="1:25" s="115" customFormat="1" ht="30.75" customHeight="1">
      <c r="A75" s="188"/>
      <c r="B75" s="203"/>
      <c r="C75" s="203"/>
      <c r="D75" s="179"/>
      <c r="E75" s="178"/>
      <c r="F75" s="189"/>
      <c r="G75" s="197"/>
      <c r="H75" s="194"/>
      <c r="I75" s="188"/>
      <c r="J75" s="176"/>
      <c r="K75" s="188"/>
      <c r="L75" s="188"/>
      <c r="M75" s="206"/>
      <c r="N75" s="191"/>
      <c r="O75" s="205"/>
      <c r="P75" s="205"/>
      <c r="Q75" s="177">
        <f>SUM(Table1[[#This Row],[DBB Claim Total]:[Reserve Total]])</f>
        <v>0</v>
      </c>
      <c r="R75" s="180"/>
      <c r="S75" s="119">
        <f t="shared" si="6"/>
        <v>0</v>
      </c>
      <c r="T75" s="200"/>
      <c r="U75" s="114">
        <f t="shared" si="8"/>
        <v>0</v>
      </c>
      <c r="V75" s="113">
        <f t="shared" si="7"/>
        <v>0</v>
      </c>
      <c r="W75" s="121">
        <f t="shared" si="9"/>
        <v>0</v>
      </c>
      <c r="X75" s="122"/>
      <c r="Y75" s="122"/>
    </row>
    <row r="76" spans="1:25" s="115" customFormat="1" ht="30.75" customHeight="1">
      <c r="A76" s="188"/>
      <c r="B76" s="203"/>
      <c r="C76" s="203"/>
      <c r="D76" s="179"/>
      <c r="E76" s="176"/>
      <c r="F76" s="189"/>
      <c r="G76" s="197"/>
      <c r="H76" s="194"/>
      <c r="I76" s="188"/>
      <c r="J76" s="176"/>
      <c r="K76" s="188"/>
      <c r="L76" s="188"/>
      <c r="M76" s="206"/>
      <c r="N76" s="191"/>
      <c r="O76" s="205"/>
      <c r="P76" s="205"/>
      <c r="Q76" s="177">
        <f>SUM(Table1[[#This Row],[DBB Claim Total]:[Reserve Total]])</f>
        <v>0</v>
      </c>
      <c r="R76" s="180"/>
      <c r="S76" s="119">
        <f t="shared" si="6"/>
        <v>0</v>
      </c>
      <c r="T76" s="200"/>
      <c r="U76" s="114">
        <f t="shared" si="8"/>
        <v>0</v>
      </c>
      <c r="V76" s="113">
        <f t="shared" si="7"/>
        <v>0</v>
      </c>
      <c r="W76" s="121">
        <f t="shared" si="9"/>
        <v>0</v>
      </c>
      <c r="X76" s="122"/>
      <c r="Y76" s="122"/>
    </row>
    <row r="77" spans="1:25" s="115" customFormat="1" ht="30.75" customHeight="1">
      <c r="A77" s="188"/>
      <c r="B77" s="203"/>
      <c r="C77" s="203"/>
      <c r="D77" s="193"/>
      <c r="E77" s="176"/>
      <c r="F77" s="189"/>
      <c r="G77" s="197"/>
      <c r="H77" s="194"/>
      <c r="I77" s="188"/>
      <c r="J77" s="194"/>
      <c r="K77" s="188"/>
      <c r="L77" s="194"/>
      <c r="M77" s="206"/>
      <c r="N77" s="188"/>
      <c r="O77" s="212"/>
      <c r="P77" s="191"/>
      <c r="Q77" s="177">
        <f>SUM(Table1[[#This Row],[DBB Claim Total]:[Reserve Total]])</f>
        <v>0</v>
      </c>
      <c r="R77" s="196"/>
      <c r="S77" s="119">
        <f t="shared" si="6"/>
        <v>0</v>
      </c>
      <c r="T77" s="200"/>
      <c r="U77" s="114">
        <f t="shared" si="8"/>
        <v>0</v>
      </c>
      <c r="V77" s="113">
        <f t="shared" si="7"/>
        <v>0</v>
      </c>
      <c r="W77" s="121">
        <f t="shared" si="9"/>
        <v>0</v>
      </c>
      <c r="X77" s="122"/>
      <c r="Y77" s="122"/>
    </row>
    <row r="78" spans="1:25" s="115" customFormat="1" ht="30.75" customHeight="1">
      <c r="A78" s="188"/>
      <c r="B78" s="203"/>
      <c r="C78" s="203"/>
      <c r="D78" s="193"/>
      <c r="E78" s="176"/>
      <c r="F78" s="189"/>
      <c r="G78" s="197"/>
      <c r="H78" s="194"/>
      <c r="I78" s="188"/>
      <c r="J78" s="194"/>
      <c r="K78" s="188"/>
      <c r="L78" s="194"/>
      <c r="M78" s="206"/>
      <c r="N78" s="188"/>
      <c r="O78" s="212"/>
      <c r="P78" s="191"/>
      <c r="Q78" s="177">
        <f>SUM(Table1[[#This Row],[DBB Claim Total]:[Reserve Total]])</f>
        <v>0</v>
      </c>
      <c r="R78" s="196"/>
      <c r="S78" s="119">
        <f t="shared" si="6"/>
        <v>0</v>
      </c>
      <c r="T78" s="200"/>
      <c r="U78" s="114">
        <f t="shared" si="8"/>
        <v>0</v>
      </c>
      <c r="V78" s="113">
        <f t="shared" si="7"/>
        <v>0</v>
      </c>
      <c r="W78" s="121">
        <f t="shared" si="9"/>
        <v>0</v>
      </c>
      <c r="X78" s="122"/>
      <c r="Y78" s="122"/>
    </row>
    <row r="79" spans="1:25" s="115" customFormat="1" ht="30.75" customHeight="1">
      <c r="A79" s="188"/>
      <c r="B79" s="203"/>
      <c r="C79" s="203"/>
      <c r="D79" s="193"/>
      <c r="E79" s="178"/>
      <c r="F79" s="203"/>
      <c r="G79" s="197"/>
      <c r="H79" s="194"/>
      <c r="I79" s="188"/>
      <c r="J79" s="194"/>
      <c r="K79" s="188"/>
      <c r="L79" s="194"/>
      <c r="M79" s="206"/>
      <c r="N79" s="188"/>
      <c r="O79" s="212"/>
      <c r="P79" s="191"/>
      <c r="Q79" s="177">
        <f>SUM(Table1[[#This Row],[DBB Claim Total]:[Reserve Total]])</f>
        <v>0</v>
      </c>
      <c r="R79" s="196"/>
      <c r="S79" s="119">
        <f t="shared" si="6"/>
        <v>0</v>
      </c>
      <c r="T79" s="200"/>
      <c r="U79" s="114">
        <f t="shared" si="8"/>
        <v>0</v>
      </c>
      <c r="V79" s="113">
        <f t="shared" si="7"/>
        <v>0</v>
      </c>
      <c r="W79" s="121">
        <f t="shared" si="9"/>
        <v>0</v>
      </c>
      <c r="X79" s="122"/>
      <c r="Y79" s="122"/>
    </row>
    <row r="80" spans="1:25" s="115" customFormat="1" ht="30.75" customHeight="1">
      <c r="A80" s="118"/>
      <c r="B80" s="103"/>
      <c r="C80" s="104"/>
      <c r="D80" s="105"/>
      <c r="E80" s="103"/>
      <c r="F80" s="106"/>
      <c r="G80" s="112"/>
      <c r="H80" s="104"/>
      <c r="I80" s="107"/>
      <c r="J80" s="104"/>
      <c r="K80" s="107"/>
      <c r="L80" s="107"/>
      <c r="M80" s="103"/>
      <c r="N80" s="109"/>
      <c r="O80" s="110"/>
      <c r="P80" s="110"/>
      <c r="Q80" s="204">
        <f>SUM(Table1[[#This Row],[DBB Claim Total]:[Reserve Total]])</f>
        <v>0</v>
      </c>
      <c r="R80" s="154"/>
      <c r="S80" s="119">
        <f t="shared" si="6"/>
        <v>0</v>
      </c>
      <c r="T80" s="120"/>
      <c r="U80" s="114">
        <f t="shared" si="8"/>
        <v>0</v>
      </c>
      <c r="V80" s="113">
        <f t="shared" si="7"/>
        <v>0</v>
      </c>
      <c r="W80" s="121">
        <f t="shared" si="9"/>
        <v>0</v>
      </c>
      <c r="X80" s="122"/>
      <c r="Y80" s="122"/>
    </row>
    <row r="81" spans="1:25" s="115" customFormat="1" ht="30.75" customHeight="1">
      <c r="A81" s="118"/>
      <c r="B81" s="103"/>
      <c r="C81" s="104"/>
      <c r="D81" s="105"/>
      <c r="E81" s="103"/>
      <c r="F81" s="106"/>
      <c r="G81" s="112"/>
      <c r="H81" s="104"/>
      <c r="I81" s="107"/>
      <c r="J81" s="104"/>
      <c r="K81" s="107"/>
      <c r="L81" s="107"/>
      <c r="M81" s="103"/>
      <c r="N81" s="109"/>
      <c r="O81" s="110"/>
      <c r="P81" s="110"/>
      <c r="Q81" s="204">
        <f>SUM(Table1[[#This Row],[DBB Claim Total]:[Reserve Total]])</f>
        <v>0</v>
      </c>
      <c r="R81" s="154"/>
      <c r="S81" s="119">
        <f t="shared" ref="S81:S112" si="10">IF(K81=$T$9,$U$9,IF(K81=$T$10,$U$10,IF(K81=$T$11,$U$11,IF(K81=$T$12,$U$12,$U$8))))</f>
        <v>0</v>
      </c>
      <c r="T81" s="120"/>
      <c r="U81" s="114">
        <f t="shared" si="8"/>
        <v>0</v>
      </c>
      <c r="V81" s="113">
        <f t="shared" ref="V81:V112" si="11">IF(K81=$T$9,$W$9,IF(K81=$T$10,$W$10,IF(K81=$T$11,$W$11,IF(K81=$T$12,$W$12,$W$8))))</f>
        <v>0</v>
      </c>
      <c r="W81" s="121">
        <f t="shared" si="9"/>
        <v>0</v>
      </c>
      <c r="X81" s="122"/>
      <c r="Y81" s="122"/>
    </row>
    <row r="82" spans="1:25" s="115" customFormat="1" ht="30.75" customHeight="1">
      <c r="A82" s="118"/>
      <c r="B82" s="103"/>
      <c r="C82" s="104"/>
      <c r="D82" s="105"/>
      <c r="E82" s="103"/>
      <c r="F82" s="106"/>
      <c r="G82" s="112"/>
      <c r="H82" s="104"/>
      <c r="I82" s="107"/>
      <c r="J82" s="104"/>
      <c r="K82" s="107"/>
      <c r="L82" s="107"/>
      <c r="M82" s="103"/>
      <c r="N82" s="109"/>
      <c r="O82" s="110"/>
      <c r="P82" s="110"/>
      <c r="Q82" s="204">
        <f>SUM(Table1[[#This Row],[DBB Claim Total]:[Reserve Total]])</f>
        <v>0</v>
      </c>
      <c r="R82" s="154"/>
      <c r="S82" s="119">
        <f t="shared" si="10"/>
        <v>0</v>
      </c>
      <c r="T82" s="120"/>
      <c r="U82" s="114">
        <f t="shared" si="8"/>
        <v>0</v>
      </c>
      <c r="V82" s="113">
        <f t="shared" si="11"/>
        <v>0</v>
      </c>
      <c r="W82" s="121">
        <f t="shared" si="9"/>
        <v>0</v>
      </c>
      <c r="X82" s="122"/>
      <c r="Y82" s="122"/>
    </row>
    <row r="83" spans="1:25" s="115" customFormat="1" ht="30.75" customHeight="1">
      <c r="A83" s="118"/>
      <c r="B83" s="103"/>
      <c r="C83" s="104"/>
      <c r="D83" s="105"/>
      <c r="E83" s="103"/>
      <c r="F83" s="106"/>
      <c r="G83" s="112"/>
      <c r="H83" s="104"/>
      <c r="I83" s="107"/>
      <c r="J83" s="104"/>
      <c r="K83" s="107"/>
      <c r="L83" s="107"/>
      <c r="M83" s="103"/>
      <c r="N83" s="109"/>
      <c r="O83" s="110"/>
      <c r="P83" s="110"/>
      <c r="Q83" s="204">
        <f>SUM(Table1[[#This Row],[DBB Claim Total]:[Reserve Total]])</f>
        <v>0</v>
      </c>
      <c r="R83" s="154"/>
      <c r="S83" s="119">
        <f t="shared" si="10"/>
        <v>0</v>
      </c>
      <c r="T83" s="120"/>
      <c r="U83" s="114">
        <f t="shared" si="8"/>
        <v>0</v>
      </c>
      <c r="V83" s="113">
        <f t="shared" si="11"/>
        <v>0</v>
      </c>
      <c r="W83" s="121">
        <f t="shared" si="9"/>
        <v>0</v>
      </c>
      <c r="X83" s="122"/>
      <c r="Y83" s="122"/>
    </row>
    <row r="84" spans="1:25" s="115" customFormat="1" ht="30.75" customHeight="1">
      <c r="A84" s="118"/>
      <c r="B84" s="103"/>
      <c r="C84" s="104"/>
      <c r="D84" s="105"/>
      <c r="E84" s="103"/>
      <c r="F84" s="106"/>
      <c r="G84" s="112"/>
      <c r="H84" s="104"/>
      <c r="I84" s="107"/>
      <c r="J84" s="104"/>
      <c r="K84" s="107"/>
      <c r="L84" s="107"/>
      <c r="M84" s="103"/>
      <c r="N84" s="109"/>
      <c r="O84" s="110"/>
      <c r="P84" s="110"/>
      <c r="Q84" s="204">
        <f>SUM(Table1[[#This Row],[DBB Claim Total]:[Reserve Total]])</f>
        <v>0</v>
      </c>
      <c r="R84" s="154"/>
      <c r="S84" s="119">
        <f t="shared" si="10"/>
        <v>0</v>
      </c>
      <c r="T84" s="120"/>
      <c r="U84" s="114">
        <f t="shared" si="8"/>
        <v>0</v>
      </c>
      <c r="V84" s="113">
        <f t="shared" si="11"/>
        <v>0</v>
      </c>
      <c r="W84" s="121">
        <f t="shared" si="9"/>
        <v>0</v>
      </c>
      <c r="X84" s="122"/>
      <c r="Y84" s="122"/>
    </row>
    <row r="85" spans="1:25" s="115" customFormat="1" ht="30.75" customHeight="1">
      <c r="A85" s="118"/>
      <c r="B85" s="103"/>
      <c r="C85" s="104"/>
      <c r="D85" s="105"/>
      <c r="E85" s="103"/>
      <c r="F85" s="106"/>
      <c r="G85" s="112"/>
      <c r="H85" s="104"/>
      <c r="I85" s="107"/>
      <c r="J85" s="104"/>
      <c r="K85" s="107"/>
      <c r="L85" s="107"/>
      <c r="M85" s="103"/>
      <c r="N85" s="109"/>
      <c r="O85" s="110"/>
      <c r="P85" s="110"/>
      <c r="Q85" s="204">
        <f>SUM(Table1[[#This Row],[DBB Claim Total]:[Reserve Total]])</f>
        <v>0</v>
      </c>
      <c r="R85" s="154"/>
      <c r="S85" s="119">
        <f t="shared" si="10"/>
        <v>0</v>
      </c>
      <c r="T85" s="120"/>
      <c r="U85" s="114">
        <f t="shared" si="8"/>
        <v>0</v>
      </c>
      <c r="V85" s="113">
        <f t="shared" si="11"/>
        <v>0</v>
      </c>
      <c r="W85" s="121">
        <f t="shared" si="9"/>
        <v>0</v>
      </c>
      <c r="X85" s="122"/>
      <c r="Y85" s="122"/>
    </row>
    <row r="86" spans="1:25" s="115" customFormat="1" ht="30.75" customHeight="1">
      <c r="A86" s="118"/>
      <c r="B86" s="103"/>
      <c r="C86" s="104"/>
      <c r="D86" s="105"/>
      <c r="E86" s="103"/>
      <c r="F86" s="106"/>
      <c r="G86" s="112"/>
      <c r="H86" s="104"/>
      <c r="I86" s="107"/>
      <c r="J86" s="104"/>
      <c r="K86" s="107"/>
      <c r="L86" s="107"/>
      <c r="M86" s="103"/>
      <c r="N86" s="109"/>
      <c r="O86" s="110"/>
      <c r="P86" s="110"/>
      <c r="Q86" s="204">
        <f>SUM(Table1[[#This Row],[DBB Claim Total]:[Reserve Total]])</f>
        <v>0</v>
      </c>
      <c r="R86" s="154"/>
      <c r="S86" s="119">
        <f t="shared" si="10"/>
        <v>0</v>
      </c>
      <c r="T86" s="120"/>
      <c r="U86" s="114">
        <f t="shared" si="8"/>
        <v>0</v>
      </c>
      <c r="V86" s="113">
        <f t="shared" si="11"/>
        <v>0</v>
      </c>
      <c r="W86" s="121">
        <f t="shared" si="9"/>
        <v>0</v>
      </c>
      <c r="X86" s="122"/>
      <c r="Y86" s="122"/>
    </row>
    <row r="87" spans="1:25" s="115" customFormat="1" ht="30.75" customHeight="1">
      <c r="A87" s="118"/>
      <c r="B87" s="103"/>
      <c r="C87" s="104"/>
      <c r="D87" s="105"/>
      <c r="E87" s="103"/>
      <c r="F87" s="106"/>
      <c r="G87" s="112"/>
      <c r="H87" s="104"/>
      <c r="I87" s="107"/>
      <c r="J87" s="104"/>
      <c r="K87" s="107"/>
      <c r="L87" s="107"/>
      <c r="M87" s="103"/>
      <c r="N87" s="109"/>
      <c r="O87" s="110"/>
      <c r="P87" s="110"/>
      <c r="Q87" s="204">
        <f>SUM(Table1[[#This Row],[DBB Claim Total]:[Reserve Total]])</f>
        <v>0</v>
      </c>
      <c r="R87" s="154"/>
      <c r="S87" s="119">
        <f t="shared" si="10"/>
        <v>0</v>
      </c>
      <c r="T87" s="120"/>
      <c r="U87" s="114">
        <f t="shared" si="8"/>
        <v>0</v>
      </c>
      <c r="V87" s="113">
        <f t="shared" si="11"/>
        <v>0</v>
      </c>
      <c r="W87" s="121">
        <f t="shared" si="9"/>
        <v>0</v>
      </c>
      <c r="X87" s="122"/>
      <c r="Y87" s="122"/>
    </row>
    <row r="88" spans="1:25" s="115" customFormat="1" ht="30.75" customHeight="1">
      <c r="A88" s="118"/>
      <c r="B88" s="103"/>
      <c r="C88" s="104"/>
      <c r="D88" s="105"/>
      <c r="E88" s="103"/>
      <c r="F88" s="106"/>
      <c r="G88" s="112"/>
      <c r="H88" s="104"/>
      <c r="I88" s="107"/>
      <c r="J88" s="104"/>
      <c r="K88" s="107"/>
      <c r="L88" s="107"/>
      <c r="M88" s="103"/>
      <c r="N88" s="109"/>
      <c r="O88" s="110"/>
      <c r="P88" s="110"/>
      <c r="Q88" s="204">
        <f>SUM(Table1[[#This Row],[DBB Claim Total]:[Reserve Total]])</f>
        <v>0</v>
      </c>
      <c r="R88" s="154"/>
      <c r="S88" s="119">
        <f t="shared" si="10"/>
        <v>0</v>
      </c>
      <c r="T88" s="120"/>
      <c r="U88" s="114">
        <f t="shared" si="8"/>
        <v>0</v>
      </c>
      <c r="V88" s="113">
        <f t="shared" si="11"/>
        <v>0</v>
      </c>
      <c r="W88" s="121">
        <f t="shared" si="9"/>
        <v>0</v>
      </c>
      <c r="X88" s="122"/>
      <c r="Y88" s="122"/>
    </row>
    <row r="89" spans="1:25" s="115" customFormat="1" ht="30.75" customHeight="1">
      <c r="A89" s="118"/>
      <c r="B89" s="103"/>
      <c r="C89" s="104"/>
      <c r="D89" s="105"/>
      <c r="E89" s="103"/>
      <c r="F89" s="106"/>
      <c r="G89" s="112"/>
      <c r="H89" s="104"/>
      <c r="I89" s="107"/>
      <c r="J89" s="104"/>
      <c r="K89" s="107"/>
      <c r="L89" s="107"/>
      <c r="M89" s="103"/>
      <c r="N89" s="109"/>
      <c r="O89" s="110"/>
      <c r="P89" s="110"/>
      <c r="Q89" s="204">
        <f>SUM(Table1[[#This Row],[DBB Claim Total]:[Reserve Total]])</f>
        <v>0</v>
      </c>
      <c r="R89" s="154"/>
      <c r="S89" s="119">
        <f t="shared" si="10"/>
        <v>0</v>
      </c>
      <c r="T89" s="120"/>
      <c r="U89" s="114">
        <f t="shared" si="8"/>
        <v>0</v>
      </c>
      <c r="V89" s="113">
        <f t="shared" si="11"/>
        <v>0</v>
      </c>
      <c r="W89" s="121">
        <f t="shared" si="9"/>
        <v>0</v>
      </c>
      <c r="X89" s="122"/>
      <c r="Y89" s="122"/>
    </row>
    <row r="90" spans="1:25" s="115" customFormat="1" ht="30.75" customHeight="1">
      <c r="A90" s="118"/>
      <c r="B90" s="103"/>
      <c r="C90" s="104"/>
      <c r="D90" s="105"/>
      <c r="E90" s="103"/>
      <c r="F90" s="106"/>
      <c r="G90" s="112"/>
      <c r="H90" s="104"/>
      <c r="I90" s="107"/>
      <c r="J90" s="104"/>
      <c r="K90" s="107"/>
      <c r="L90" s="107"/>
      <c r="M90" s="103"/>
      <c r="N90" s="109"/>
      <c r="O90" s="110"/>
      <c r="P90" s="110"/>
      <c r="Q90" s="204">
        <f>SUM(Table1[[#This Row],[DBB Claim Total]:[Reserve Total]])</f>
        <v>0</v>
      </c>
      <c r="R90" s="154"/>
      <c r="S90" s="119">
        <f t="shared" si="10"/>
        <v>0</v>
      </c>
      <c r="T90" s="120"/>
      <c r="U90" s="114">
        <f t="shared" si="8"/>
        <v>0</v>
      </c>
      <c r="V90" s="113">
        <f t="shared" si="11"/>
        <v>0</v>
      </c>
      <c r="W90" s="121">
        <f t="shared" si="9"/>
        <v>0</v>
      </c>
      <c r="X90" s="122"/>
      <c r="Y90" s="122"/>
    </row>
    <row r="91" spans="1:25" s="115" customFormat="1" ht="30.75" customHeight="1">
      <c r="A91" s="118"/>
      <c r="B91" s="103"/>
      <c r="C91" s="104"/>
      <c r="D91" s="105"/>
      <c r="E91" s="103"/>
      <c r="F91" s="106"/>
      <c r="G91" s="112"/>
      <c r="H91" s="104"/>
      <c r="I91" s="107"/>
      <c r="J91" s="104"/>
      <c r="K91" s="107"/>
      <c r="L91" s="107"/>
      <c r="M91" s="103"/>
      <c r="N91" s="109"/>
      <c r="O91" s="110"/>
      <c r="P91" s="110"/>
      <c r="Q91" s="204">
        <f>SUM(Table1[[#This Row],[DBB Claim Total]:[Reserve Total]])</f>
        <v>0</v>
      </c>
      <c r="R91" s="154"/>
      <c r="S91" s="119">
        <f t="shared" si="10"/>
        <v>0</v>
      </c>
      <c r="T91" s="120"/>
      <c r="U91" s="114">
        <f t="shared" si="8"/>
        <v>0</v>
      </c>
      <c r="V91" s="113">
        <f t="shared" si="11"/>
        <v>0</v>
      </c>
      <c r="W91" s="121">
        <f t="shared" si="9"/>
        <v>0</v>
      </c>
      <c r="X91" s="122"/>
      <c r="Y91" s="122"/>
    </row>
    <row r="92" spans="1:25" s="115" customFormat="1" ht="30.75" customHeight="1">
      <c r="A92" s="118"/>
      <c r="B92" s="103"/>
      <c r="C92" s="104"/>
      <c r="D92" s="105"/>
      <c r="E92" s="103"/>
      <c r="F92" s="106"/>
      <c r="G92" s="112"/>
      <c r="H92" s="104"/>
      <c r="I92" s="107"/>
      <c r="J92" s="104"/>
      <c r="K92" s="107"/>
      <c r="L92" s="107"/>
      <c r="M92" s="103"/>
      <c r="N92" s="109"/>
      <c r="O92" s="110"/>
      <c r="P92" s="110"/>
      <c r="Q92" s="204">
        <f>SUM(Table1[[#This Row],[DBB Claim Total]:[Reserve Total]])</f>
        <v>0</v>
      </c>
      <c r="R92" s="154"/>
      <c r="S92" s="119">
        <f t="shared" si="10"/>
        <v>0</v>
      </c>
      <c r="T92" s="120"/>
      <c r="U92" s="114">
        <f t="shared" ref="U92:U114" si="12">IF(Q92&lt;(IF(ISBLANK(T92),S92,S92*T92)),0,Q92-(IF(ISBLANK(T92),S92,S92*T92)))</f>
        <v>0</v>
      </c>
      <c r="V92" s="113">
        <f t="shared" si="11"/>
        <v>0</v>
      </c>
      <c r="W92" s="121">
        <f t="shared" ref="W92:W114" si="13">IF(Q92&lt;(IF(ISBLANK(T92),V92,V92*T92)),0,Q92-(IF(ISBLANK(T92),V92,V92*T92)))</f>
        <v>0</v>
      </c>
      <c r="X92" s="122"/>
      <c r="Y92" s="122"/>
    </row>
    <row r="93" spans="1:25" s="115" customFormat="1" ht="30.75" customHeight="1">
      <c r="A93" s="118"/>
      <c r="B93" s="103"/>
      <c r="C93" s="104"/>
      <c r="D93" s="105"/>
      <c r="E93" s="103"/>
      <c r="F93" s="106"/>
      <c r="G93" s="112"/>
      <c r="H93" s="104"/>
      <c r="I93" s="107"/>
      <c r="J93" s="104"/>
      <c r="K93" s="107"/>
      <c r="L93" s="107"/>
      <c r="M93" s="103"/>
      <c r="N93" s="109"/>
      <c r="O93" s="110"/>
      <c r="P93" s="110"/>
      <c r="Q93" s="204">
        <f>SUM(Table1[[#This Row],[DBB Claim Total]:[Reserve Total]])</f>
        <v>0</v>
      </c>
      <c r="R93" s="154"/>
      <c r="S93" s="119">
        <f t="shared" si="10"/>
        <v>0</v>
      </c>
      <c r="T93" s="120"/>
      <c r="U93" s="114">
        <f t="shared" si="12"/>
        <v>0</v>
      </c>
      <c r="V93" s="113">
        <f t="shared" si="11"/>
        <v>0</v>
      </c>
      <c r="W93" s="121">
        <f t="shared" si="13"/>
        <v>0</v>
      </c>
      <c r="X93" s="122"/>
      <c r="Y93" s="122"/>
    </row>
    <row r="94" spans="1:25" s="115" customFormat="1" ht="30.75" customHeight="1">
      <c r="A94" s="118"/>
      <c r="B94" s="103"/>
      <c r="C94" s="104"/>
      <c r="D94" s="105"/>
      <c r="E94" s="103"/>
      <c r="F94" s="106"/>
      <c r="G94" s="112"/>
      <c r="H94" s="104"/>
      <c r="I94" s="107"/>
      <c r="J94" s="104"/>
      <c r="K94" s="107"/>
      <c r="L94" s="107"/>
      <c r="M94" s="103"/>
      <c r="N94" s="109"/>
      <c r="O94" s="110"/>
      <c r="P94" s="110"/>
      <c r="Q94" s="204">
        <f>SUM(Table1[[#This Row],[DBB Claim Total]:[Reserve Total]])</f>
        <v>0</v>
      </c>
      <c r="R94" s="154"/>
      <c r="S94" s="119">
        <f t="shared" si="10"/>
        <v>0</v>
      </c>
      <c r="T94" s="120"/>
      <c r="U94" s="114">
        <f t="shared" si="12"/>
        <v>0</v>
      </c>
      <c r="V94" s="113">
        <f t="shared" si="11"/>
        <v>0</v>
      </c>
      <c r="W94" s="121">
        <f t="shared" si="13"/>
        <v>0</v>
      </c>
      <c r="X94" s="122"/>
      <c r="Y94" s="122"/>
    </row>
    <row r="95" spans="1:25" s="115" customFormat="1" ht="30.75" customHeight="1">
      <c r="A95" s="118"/>
      <c r="B95" s="103"/>
      <c r="C95" s="104"/>
      <c r="D95" s="105"/>
      <c r="E95" s="103"/>
      <c r="F95" s="106"/>
      <c r="G95" s="112"/>
      <c r="H95" s="104"/>
      <c r="I95" s="107"/>
      <c r="J95" s="104"/>
      <c r="K95" s="107"/>
      <c r="L95" s="107"/>
      <c r="M95" s="103"/>
      <c r="N95" s="109"/>
      <c r="O95" s="110"/>
      <c r="P95" s="110"/>
      <c r="Q95" s="204">
        <f>SUM(Table1[[#This Row],[DBB Claim Total]:[Reserve Total]])</f>
        <v>0</v>
      </c>
      <c r="R95" s="154"/>
      <c r="S95" s="119">
        <f t="shared" si="10"/>
        <v>0</v>
      </c>
      <c r="T95" s="120"/>
      <c r="U95" s="114">
        <f t="shared" si="12"/>
        <v>0</v>
      </c>
      <c r="V95" s="113">
        <f t="shared" si="11"/>
        <v>0</v>
      </c>
      <c r="W95" s="121">
        <f t="shared" si="13"/>
        <v>0</v>
      </c>
      <c r="X95" s="122"/>
      <c r="Y95" s="122"/>
    </row>
    <row r="96" spans="1:25" s="115" customFormat="1" ht="30.75" customHeight="1">
      <c r="A96" s="118"/>
      <c r="B96" s="103"/>
      <c r="C96" s="104"/>
      <c r="D96" s="105"/>
      <c r="E96" s="103"/>
      <c r="F96" s="106"/>
      <c r="G96" s="112"/>
      <c r="H96" s="104"/>
      <c r="I96" s="107"/>
      <c r="J96" s="104"/>
      <c r="K96" s="107"/>
      <c r="L96" s="107"/>
      <c r="M96" s="103"/>
      <c r="N96" s="109"/>
      <c r="O96" s="110"/>
      <c r="P96" s="110"/>
      <c r="Q96" s="204">
        <f>SUM(Table1[[#This Row],[DBB Claim Total]:[Reserve Total]])</f>
        <v>0</v>
      </c>
      <c r="R96" s="154"/>
      <c r="S96" s="119">
        <f t="shared" si="10"/>
        <v>0</v>
      </c>
      <c r="T96" s="120"/>
      <c r="U96" s="114">
        <f t="shared" si="12"/>
        <v>0</v>
      </c>
      <c r="V96" s="113">
        <f t="shared" si="11"/>
        <v>0</v>
      </c>
      <c r="W96" s="121">
        <f t="shared" si="13"/>
        <v>0</v>
      </c>
      <c r="X96" s="122"/>
      <c r="Y96" s="122"/>
    </row>
    <row r="97" spans="1:25" s="115" customFormat="1" ht="30.75" customHeight="1">
      <c r="A97" s="118"/>
      <c r="B97" s="103"/>
      <c r="C97" s="104"/>
      <c r="D97" s="105"/>
      <c r="E97" s="103"/>
      <c r="F97" s="106"/>
      <c r="G97" s="112"/>
      <c r="H97" s="104"/>
      <c r="I97" s="107"/>
      <c r="J97" s="104"/>
      <c r="K97" s="107"/>
      <c r="L97" s="107"/>
      <c r="M97" s="103"/>
      <c r="N97" s="109"/>
      <c r="O97" s="110"/>
      <c r="P97" s="110"/>
      <c r="Q97" s="204">
        <f>SUM(Table1[[#This Row],[DBB Claim Total]:[Reserve Total]])</f>
        <v>0</v>
      </c>
      <c r="R97" s="154"/>
      <c r="S97" s="119">
        <f t="shared" si="10"/>
        <v>0</v>
      </c>
      <c r="T97" s="120"/>
      <c r="U97" s="114">
        <f t="shared" si="12"/>
        <v>0</v>
      </c>
      <c r="V97" s="113">
        <f t="shared" si="11"/>
        <v>0</v>
      </c>
      <c r="W97" s="121">
        <f t="shared" si="13"/>
        <v>0</v>
      </c>
      <c r="X97" s="122"/>
      <c r="Y97" s="122"/>
    </row>
    <row r="98" spans="1:25" s="115" customFormat="1" ht="30.75" customHeight="1">
      <c r="A98" s="118"/>
      <c r="B98" s="103"/>
      <c r="C98" s="104"/>
      <c r="D98" s="105"/>
      <c r="E98" s="103"/>
      <c r="F98" s="106"/>
      <c r="G98" s="112"/>
      <c r="H98" s="104"/>
      <c r="I98" s="107"/>
      <c r="J98" s="104"/>
      <c r="K98" s="107"/>
      <c r="L98" s="107"/>
      <c r="M98" s="103"/>
      <c r="N98" s="109"/>
      <c r="O98" s="110"/>
      <c r="P98" s="110"/>
      <c r="Q98" s="204">
        <f>SUM(Table1[[#This Row],[DBB Claim Total]:[Reserve Total]])</f>
        <v>0</v>
      </c>
      <c r="R98" s="154"/>
      <c r="S98" s="119">
        <f t="shared" si="10"/>
        <v>0</v>
      </c>
      <c r="T98" s="120"/>
      <c r="U98" s="114">
        <f t="shared" si="12"/>
        <v>0</v>
      </c>
      <c r="V98" s="113">
        <f t="shared" si="11"/>
        <v>0</v>
      </c>
      <c r="W98" s="121">
        <f t="shared" si="13"/>
        <v>0</v>
      </c>
      <c r="X98" s="122"/>
      <c r="Y98" s="122"/>
    </row>
    <row r="99" spans="1:25" s="115" customFormat="1" ht="30.75" customHeight="1">
      <c r="A99" s="118"/>
      <c r="B99" s="103"/>
      <c r="C99" s="104"/>
      <c r="D99" s="105"/>
      <c r="E99" s="103"/>
      <c r="F99" s="106"/>
      <c r="G99" s="112"/>
      <c r="H99" s="104"/>
      <c r="I99" s="107"/>
      <c r="J99" s="104"/>
      <c r="K99" s="107"/>
      <c r="L99" s="107"/>
      <c r="M99" s="103"/>
      <c r="N99" s="109"/>
      <c r="O99" s="110"/>
      <c r="P99" s="110"/>
      <c r="Q99" s="204">
        <f>SUM(Table1[[#This Row],[DBB Claim Total]:[Reserve Total]])</f>
        <v>0</v>
      </c>
      <c r="R99" s="154"/>
      <c r="S99" s="119">
        <f t="shared" si="10"/>
        <v>0</v>
      </c>
      <c r="T99" s="120"/>
      <c r="U99" s="114">
        <f t="shared" si="12"/>
        <v>0</v>
      </c>
      <c r="V99" s="113">
        <f t="shared" si="11"/>
        <v>0</v>
      </c>
      <c r="W99" s="121">
        <f t="shared" si="13"/>
        <v>0</v>
      </c>
      <c r="X99" s="122"/>
      <c r="Y99" s="122"/>
    </row>
    <row r="100" spans="1:25" s="115" customFormat="1" ht="30.75" customHeight="1">
      <c r="A100" s="118"/>
      <c r="B100" s="103"/>
      <c r="C100" s="104"/>
      <c r="D100" s="105"/>
      <c r="E100" s="103"/>
      <c r="F100" s="106"/>
      <c r="G100" s="112"/>
      <c r="H100" s="104"/>
      <c r="I100" s="107"/>
      <c r="J100" s="104"/>
      <c r="K100" s="107"/>
      <c r="L100" s="107"/>
      <c r="M100" s="103"/>
      <c r="N100" s="109"/>
      <c r="O100" s="110"/>
      <c r="P100" s="110"/>
      <c r="Q100" s="204">
        <f>SUM(Table1[[#This Row],[DBB Claim Total]:[Reserve Total]])</f>
        <v>0</v>
      </c>
      <c r="R100" s="154"/>
      <c r="S100" s="119">
        <f t="shared" si="10"/>
        <v>0</v>
      </c>
      <c r="T100" s="120"/>
      <c r="U100" s="114">
        <f t="shared" si="12"/>
        <v>0</v>
      </c>
      <c r="V100" s="113">
        <f t="shared" si="11"/>
        <v>0</v>
      </c>
      <c r="W100" s="121">
        <f t="shared" si="13"/>
        <v>0</v>
      </c>
      <c r="X100" s="122"/>
      <c r="Y100" s="122"/>
    </row>
    <row r="101" spans="1:25" s="115" customFormat="1" ht="30.75" customHeight="1">
      <c r="A101" s="118"/>
      <c r="B101" s="103"/>
      <c r="C101" s="104"/>
      <c r="D101" s="105"/>
      <c r="E101" s="103"/>
      <c r="F101" s="106"/>
      <c r="G101" s="112"/>
      <c r="H101" s="104"/>
      <c r="I101" s="107"/>
      <c r="J101" s="104"/>
      <c r="K101" s="107"/>
      <c r="L101" s="107"/>
      <c r="M101" s="103"/>
      <c r="N101" s="109"/>
      <c r="O101" s="110"/>
      <c r="P101" s="110"/>
      <c r="Q101" s="204">
        <f>SUM(Table1[[#This Row],[DBB Claim Total]:[Reserve Total]])</f>
        <v>0</v>
      </c>
      <c r="R101" s="154"/>
      <c r="S101" s="119">
        <f t="shared" si="10"/>
        <v>0</v>
      </c>
      <c r="T101" s="120"/>
      <c r="U101" s="114">
        <f t="shared" si="12"/>
        <v>0</v>
      </c>
      <c r="V101" s="113">
        <f t="shared" si="11"/>
        <v>0</v>
      </c>
      <c r="W101" s="121">
        <f t="shared" si="13"/>
        <v>0</v>
      </c>
      <c r="X101" s="122"/>
      <c r="Y101" s="122"/>
    </row>
    <row r="102" spans="1:25" s="115" customFormat="1" ht="30.75" customHeight="1">
      <c r="A102" s="118"/>
      <c r="B102" s="103"/>
      <c r="C102" s="104"/>
      <c r="D102" s="105"/>
      <c r="E102" s="103"/>
      <c r="F102" s="106"/>
      <c r="G102" s="112"/>
      <c r="H102" s="104"/>
      <c r="I102" s="107"/>
      <c r="J102" s="104"/>
      <c r="K102" s="107"/>
      <c r="L102" s="107"/>
      <c r="M102" s="103"/>
      <c r="N102" s="109"/>
      <c r="O102" s="110"/>
      <c r="P102" s="110"/>
      <c r="Q102" s="204">
        <f>SUM(Table1[[#This Row],[DBB Claim Total]:[Reserve Total]])</f>
        <v>0</v>
      </c>
      <c r="R102" s="154"/>
      <c r="S102" s="119">
        <f t="shared" si="10"/>
        <v>0</v>
      </c>
      <c r="T102" s="120"/>
      <c r="U102" s="114">
        <f t="shared" si="12"/>
        <v>0</v>
      </c>
      <c r="V102" s="113">
        <f t="shared" si="11"/>
        <v>0</v>
      </c>
      <c r="W102" s="121">
        <f t="shared" si="13"/>
        <v>0</v>
      </c>
      <c r="X102" s="122"/>
      <c r="Y102" s="122"/>
    </row>
    <row r="103" spans="1:25" s="115" customFormat="1" ht="30.75" customHeight="1">
      <c r="A103" s="118"/>
      <c r="B103" s="103"/>
      <c r="C103" s="104"/>
      <c r="D103" s="105"/>
      <c r="E103" s="103"/>
      <c r="F103" s="106"/>
      <c r="G103" s="112"/>
      <c r="H103" s="104"/>
      <c r="I103" s="107"/>
      <c r="J103" s="104"/>
      <c r="K103" s="107"/>
      <c r="L103" s="107"/>
      <c r="M103" s="103"/>
      <c r="N103" s="109"/>
      <c r="O103" s="110"/>
      <c r="P103" s="110"/>
      <c r="Q103" s="204">
        <f>SUM(Table1[[#This Row],[DBB Claim Total]:[Reserve Total]])</f>
        <v>0</v>
      </c>
      <c r="R103" s="154"/>
      <c r="S103" s="119">
        <f t="shared" si="10"/>
        <v>0</v>
      </c>
      <c r="T103" s="120"/>
      <c r="U103" s="114">
        <f t="shared" si="12"/>
        <v>0</v>
      </c>
      <c r="V103" s="113">
        <f t="shared" si="11"/>
        <v>0</v>
      </c>
      <c r="W103" s="121">
        <f t="shared" si="13"/>
        <v>0</v>
      </c>
      <c r="X103" s="122"/>
      <c r="Y103" s="122"/>
    </row>
    <row r="104" spans="1:25" s="115" customFormat="1" ht="30.75" customHeight="1">
      <c r="A104" s="118"/>
      <c r="B104" s="103"/>
      <c r="C104" s="104"/>
      <c r="D104" s="105"/>
      <c r="E104" s="103"/>
      <c r="F104" s="106"/>
      <c r="G104" s="112"/>
      <c r="H104" s="104"/>
      <c r="I104" s="107"/>
      <c r="J104" s="104"/>
      <c r="K104" s="107"/>
      <c r="L104" s="107"/>
      <c r="M104" s="103"/>
      <c r="N104" s="109"/>
      <c r="O104" s="110"/>
      <c r="P104" s="110"/>
      <c r="Q104" s="204">
        <f>SUM(Table1[[#This Row],[DBB Claim Total]:[Reserve Total]])</f>
        <v>0</v>
      </c>
      <c r="R104" s="154"/>
      <c r="S104" s="119">
        <f t="shared" si="10"/>
        <v>0</v>
      </c>
      <c r="T104" s="120"/>
      <c r="U104" s="114">
        <f t="shared" si="12"/>
        <v>0</v>
      </c>
      <c r="V104" s="113">
        <f t="shared" si="11"/>
        <v>0</v>
      </c>
      <c r="W104" s="121">
        <f t="shared" si="13"/>
        <v>0</v>
      </c>
      <c r="X104" s="122"/>
      <c r="Y104" s="122"/>
    </row>
    <row r="105" spans="1:25" s="115" customFormat="1" ht="30.75" customHeight="1">
      <c r="A105" s="118"/>
      <c r="B105" s="103"/>
      <c r="C105" s="104"/>
      <c r="D105" s="105"/>
      <c r="E105" s="103"/>
      <c r="F105" s="106"/>
      <c r="G105" s="112"/>
      <c r="H105" s="104"/>
      <c r="I105" s="107"/>
      <c r="J105" s="104"/>
      <c r="K105" s="107"/>
      <c r="L105" s="107"/>
      <c r="M105" s="103"/>
      <c r="N105" s="109"/>
      <c r="O105" s="110"/>
      <c r="P105" s="110"/>
      <c r="Q105" s="204">
        <f>SUM(Table1[[#This Row],[DBB Claim Total]:[Reserve Total]])</f>
        <v>0</v>
      </c>
      <c r="R105" s="154"/>
      <c r="S105" s="119">
        <f t="shared" si="10"/>
        <v>0</v>
      </c>
      <c r="T105" s="120"/>
      <c r="U105" s="114">
        <f t="shared" si="12"/>
        <v>0</v>
      </c>
      <c r="V105" s="113">
        <f t="shared" si="11"/>
        <v>0</v>
      </c>
      <c r="W105" s="121">
        <f t="shared" si="13"/>
        <v>0</v>
      </c>
      <c r="X105" s="122"/>
      <c r="Y105" s="122"/>
    </row>
    <row r="106" spans="1:25" s="115" customFormat="1" ht="30.75" customHeight="1">
      <c r="A106" s="118"/>
      <c r="B106" s="103"/>
      <c r="C106" s="104"/>
      <c r="D106" s="105"/>
      <c r="E106" s="103"/>
      <c r="F106" s="106"/>
      <c r="G106" s="112"/>
      <c r="H106" s="104"/>
      <c r="I106" s="107"/>
      <c r="J106" s="104"/>
      <c r="K106" s="107"/>
      <c r="L106" s="107"/>
      <c r="M106" s="103"/>
      <c r="N106" s="109"/>
      <c r="O106" s="110"/>
      <c r="P106" s="110"/>
      <c r="Q106" s="204">
        <f>SUM(Table1[[#This Row],[DBB Claim Total]:[Reserve Total]])</f>
        <v>0</v>
      </c>
      <c r="R106" s="154"/>
      <c r="S106" s="119">
        <f t="shared" si="10"/>
        <v>0</v>
      </c>
      <c r="T106" s="120"/>
      <c r="U106" s="114">
        <f t="shared" si="12"/>
        <v>0</v>
      </c>
      <c r="V106" s="113">
        <f t="shared" si="11"/>
        <v>0</v>
      </c>
      <c r="W106" s="121">
        <f t="shared" si="13"/>
        <v>0</v>
      </c>
      <c r="X106" s="122"/>
      <c r="Y106" s="122"/>
    </row>
    <row r="107" spans="1:25" s="115" customFormat="1" ht="30.75" customHeight="1">
      <c r="A107" s="118"/>
      <c r="B107" s="103"/>
      <c r="C107" s="104"/>
      <c r="D107" s="105"/>
      <c r="E107" s="103"/>
      <c r="F107" s="106"/>
      <c r="G107" s="112"/>
      <c r="H107" s="104"/>
      <c r="I107" s="107"/>
      <c r="J107" s="104"/>
      <c r="K107" s="107"/>
      <c r="L107" s="107"/>
      <c r="M107" s="103"/>
      <c r="N107" s="109"/>
      <c r="O107" s="110"/>
      <c r="P107" s="110"/>
      <c r="Q107" s="204">
        <f>SUM(Table1[[#This Row],[DBB Claim Total]:[Reserve Total]])</f>
        <v>0</v>
      </c>
      <c r="R107" s="154"/>
      <c r="S107" s="119">
        <f t="shared" si="10"/>
        <v>0</v>
      </c>
      <c r="T107" s="120"/>
      <c r="U107" s="114">
        <f t="shared" si="12"/>
        <v>0</v>
      </c>
      <c r="V107" s="113">
        <f t="shared" si="11"/>
        <v>0</v>
      </c>
      <c r="W107" s="121">
        <f t="shared" si="13"/>
        <v>0</v>
      </c>
      <c r="X107" s="122"/>
      <c r="Y107" s="122"/>
    </row>
    <row r="108" spans="1:25" s="115" customFormat="1" ht="30.75" customHeight="1">
      <c r="A108" s="118"/>
      <c r="B108" s="103"/>
      <c r="C108" s="104"/>
      <c r="D108" s="105"/>
      <c r="E108" s="103"/>
      <c r="F108" s="106"/>
      <c r="G108" s="112"/>
      <c r="H108" s="104"/>
      <c r="I108" s="107"/>
      <c r="J108" s="104"/>
      <c r="K108" s="107"/>
      <c r="L108" s="107"/>
      <c r="M108" s="103"/>
      <c r="N108" s="109"/>
      <c r="O108" s="110"/>
      <c r="P108" s="110"/>
      <c r="Q108" s="204">
        <f>SUM(Table1[[#This Row],[DBB Claim Total]:[Reserve Total]])</f>
        <v>0</v>
      </c>
      <c r="R108" s="154"/>
      <c r="S108" s="119">
        <f t="shared" si="10"/>
        <v>0</v>
      </c>
      <c r="T108" s="120"/>
      <c r="U108" s="114">
        <f t="shared" si="12"/>
        <v>0</v>
      </c>
      <c r="V108" s="113">
        <f t="shared" si="11"/>
        <v>0</v>
      </c>
      <c r="W108" s="121">
        <f t="shared" si="13"/>
        <v>0</v>
      </c>
      <c r="X108" s="122"/>
      <c r="Y108" s="122"/>
    </row>
    <row r="109" spans="1:25" s="115" customFormat="1" ht="30.75" customHeight="1">
      <c r="A109" s="118"/>
      <c r="B109" s="103"/>
      <c r="C109" s="104"/>
      <c r="D109" s="105"/>
      <c r="E109" s="103"/>
      <c r="F109" s="106"/>
      <c r="G109" s="112"/>
      <c r="H109" s="104"/>
      <c r="I109" s="107"/>
      <c r="J109" s="104"/>
      <c r="K109" s="107"/>
      <c r="L109" s="107"/>
      <c r="M109" s="103"/>
      <c r="N109" s="109"/>
      <c r="O109" s="110"/>
      <c r="P109" s="110"/>
      <c r="Q109" s="204">
        <f>SUM(Table1[[#This Row],[DBB Claim Total]:[Reserve Total]])</f>
        <v>0</v>
      </c>
      <c r="R109" s="154"/>
      <c r="S109" s="119">
        <f t="shared" si="10"/>
        <v>0</v>
      </c>
      <c r="T109" s="120"/>
      <c r="U109" s="114">
        <f t="shared" si="12"/>
        <v>0</v>
      </c>
      <c r="V109" s="113">
        <f t="shared" si="11"/>
        <v>0</v>
      </c>
      <c r="W109" s="121">
        <f t="shared" si="13"/>
        <v>0</v>
      </c>
      <c r="X109" s="122"/>
      <c r="Y109" s="122"/>
    </row>
    <row r="110" spans="1:25" s="115" customFormat="1" ht="30.75" customHeight="1">
      <c r="A110" s="118"/>
      <c r="B110" s="103"/>
      <c r="C110" s="104"/>
      <c r="D110" s="105"/>
      <c r="E110" s="103"/>
      <c r="F110" s="106"/>
      <c r="G110" s="112"/>
      <c r="H110" s="104"/>
      <c r="I110" s="107"/>
      <c r="J110" s="104"/>
      <c r="K110" s="107"/>
      <c r="L110" s="107"/>
      <c r="M110" s="103"/>
      <c r="N110" s="109"/>
      <c r="O110" s="110"/>
      <c r="P110" s="110"/>
      <c r="Q110" s="204">
        <f>SUM(Table1[[#This Row],[DBB Claim Total]:[Reserve Total]])</f>
        <v>0</v>
      </c>
      <c r="R110" s="154"/>
      <c r="S110" s="119">
        <f t="shared" si="10"/>
        <v>0</v>
      </c>
      <c r="T110" s="120"/>
      <c r="U110" s="114">
        <f t="shared" si="12"/>
        <v>0</v>
      </c>
      <c r="V110" s="113">
        <f t="shared" si="11"/>
        <v>0</v>
      </c>
      <c r="W110" s="121">
        <f t="shared" si="13"/>
        <v>0</v>
      </c>
      <c r="X110" s="122"/>
      <c r="Y110" s="122"/>
    </row>
    <row r="111" spans="1:25" s="115" customFormat="1" ht="30.75" customHeight="1">
      <c r="A111" s="118"/>
      <c r="B111" s="103"/>
      <c r="C111" s="104"/>
      <c r="D111" s="105"/>
      <c r="E111" s="103"/>
      <c r="F111" s="106"/>
      <c r="G111" s="112"/>
      <c r="H111" s="104"/>
      <c r="I111" s="107"/>
      <c r="J111" s="104"/>
      <c r="K111" s="107"/>
      <c r="L111" s="107"/>
      <c r="M111" s="103"/>
      <c r="N111" s="109"/>
      <c r="O111" s="110"/>
      <c r="P111" s="110"/>
      <c r="Q111" s="204">
        <f>SUM(Table1[[#This Row],[DBB Claim Total]:[Reserve Total]])</f>
        <v>0</v>
      </c>
      <c r="R111" s="154"/>
      <c r="S111" s="119">
        <f t="shared" si="10"/>
        <v>0</v>
      </c>
      <c r="T111" s="120"/>
      <c r="U111" s="114">
        <f t="shared" si="12"/>
        <v>0</v>
      </c>
      <c r="V111" s="113">
        <f t="shared" si="11"/>
        <v>0</v>
      </c>
      <c r="W111" s="121">
        <f t="shared" si="13"/>
        <v>0</v>
      </c>
      <c r="X111" s="122"/>
      <c r="Y111" s="122"/>
    </row>
    <row r="112" spans="1:25" s="115" customFormat="1" ht="30.75" customHeight="1">
      <c r="A112" s="118"/>
      <c r="B112" s="103"/>
      <c r="C112" s="104"/>
      <c r="D112" s="105"/>
      <c r="E112" s="103"/>
      <c r="F112" s="106"/>
      <c r="G112" s="112"/>
      <c r="H112" s="104"/>
      <c r="I112" s="107"/>
      <c r="J112" s="104"/>
      <c r="K112" s="107"/>
      <c r="L112" s="107"/>
      <c r="M112" s="103"/>
      <c r="N112" s="109"/>
      <c r="O112" s="110"/>
      <c r="P112" s="110"/>
      <c r="Q112" s="204">
        <f>SUM(Table1[[#This Row],[DBB Claim Total]:[Reserve Total]])</f>
        <v>0</v>
      </c>
      <c r="R112" s="154"/>
      <c r="S112" s="119">
        <f t="shared" si="10"/>
        <v>0</v>
      </c>
      <c r="T112" s="120"/>
      <c r="U112" s="114">
        <f t="shared" si="12"/>
        <v>0</v>
      </c>
      <c r="V112" s="113">
        <f t="shared" si="11"/>
        <v>0</v>
      </c>
      <c r="W112" s="121">
        <f t="shared" si="13"/>
        <v>0</v>
      </c>
      <c r="X112" s="122"/>
      <c r="Y112" s="122"/>
    </row>
    <row r="113" spans="1:25" s="115" customFormat="1" ht="30.75" customHeight="1">
      <c r="A113" s="118"/>
      <c r="B113" s="103"/>
      <c r="C113" s="104"/>
      <c r="D113" s="105"/>
      <c r="E113" s="103"/>
      <c r="F113" s="106"/>
      <c r="G113" s="112"/>
      <c r="H113" s="104"/>
      <c r="I113" s="107"/>
      <c r="J113" s="104"/>
      <c r="K113" s="107"/>
      <c r="L113" s="107"/>
      <c r="M113" s="103"/>
      <c r="N113" s="109"/>
      <c r="O113" s="110"/>
      <c r="P113" s="110"/>
      <c r="Q113" s="204">
        <f>SUM(Table1[[#This Row],[DBB Claim Total]:[Reserve Total]])</f>
        <v>0</v>
      </c>
      <c r="R113" s="154"/>
      <c r="S113" s="119">
        <f t="shared" ref="S113:S140" si="14">IF(K113=$T$9,$U$9,IF(K113=$T$10,$U$10,IF(K113=$T$11,$U$11,IF(K113=$T$12,$U$12,$U$8))))</f>
        <v>0</v>
      </c>
      <c r="T113" s="120"/>
      <c r="U113" s="114">
        <f t="shared" si="12"/>
        <v>0</v>
      </c>
      <c r="V113" s="113">
        <f t="shared" ref="V113:V140" si="15">IF(K113=$T$9,$W$9,IF(K113=$T$10,$W$10,IF(K113=$T$11,$W$11,IF(K113=$T$12,$W$12,$W$8))))</f>
        <v>0</v>
      </c>
      <c r="W113" s="121">
        <f t="shared" si="13"/>
        <v>0</v>
      </c>
      <c r="X113" s="122"/>
      <c r="Y113" s="122"/>
    </row>
    <row r="114" spans="1:25" s="115" customFormat="1" ht="30.75" customHeight="1">
      <c r="A114" s="118"/>
      <c r="B114" s="103"/>
      <c r="C114" s="104"/>
      <c r="D114" s="105"/>
      <c r="E114" s="103"/>
      <c r="F114" s="106"/>
      <c r="G114" s="112"/>
      <c r="H114" s="104"/>
      <c r="I114" s="107"/>
      <c r="J114" s="104"/>
      <c r="K114" s="107"/>
      <c r="L114" s="107"/>
      <c r="M114" s="103"/>
      <c r="N114" s="109"/>
      <c r="O114" s="110"/>
      <c r="P114" s="110"/>
      <c r="Q114" s="204">
        <f>SUM(Table1[[#This Row],[DBB Claim Total]:[Reserve Total]])</f>
        <v>0</v>
      </c>
      <c r="R114" s="154"/>
      <c r="S114" s="119">
        <f t="shared" si="14"/>
        <v>0</v>
      </c>
      <c r="T114" s="120"/>
      <c r="U114" s="114">
        <f t="shared" si="12"/>
        <v>0</v>
      </c>
      <c r="V114" s="113">
        <f t="shared" si="15"/>
        <v>0</v>
      </c>
      <c r="W114" s="121">
        <f t="shared" si="13"/>
        <v>0</v>
      </c>
      <c r="X114" s="122"/>
      <c r="Y114" s="122"/>
    </row>
    <row r="115" spans="1:25" s="115" customFormat="1" ht="30.75" customHeight="1">
      <c r="A115" s="105"/>
      <c r="B115" s="103"/>
      <c r="C115" s="104"/>
      <c r="D115" s="116"/>
      <c r="E115" s="106"/>
      <c r="F115" s="106"/>
      <c r="G115" s="106"/>
      <c r="H115" s="107"/>
      <c r="I115" s="107"/>
      <c r="J115" s="107"/>
      <c r="K115" s="107"/>
      <c r="L115" s="108"/>
      <c r="M115" s="103"/>
      <c r="N115" s="109"/>
      <c r="O115" s="111"/>
      <c r="P115" s="111"/>
      <c r="Q115" s="110">
        <f t="shared" ref="Q115:Q122" si="16">SUM(N115:P115)</f>
        <v>0</v>
      </c>
      <c r="R115" s="155"/>
      <c r="S115" s="113">
        <f t="shared" si="14"/>
        <v>0</v>
      </c>
      <c r="T115" s="109"/>
      <c r="U115" s="114">
        <f t="shared" si="1"/>
        <v>0</v>
      </c>
      <c r="V115" s="113">
        <f t="shared" si="15"/>
        <v>0</v>
      </c>
      <c r="W115" s="114">
        <f t="shared" si="3"/>
        <v>0</v>
      </c>
      <c r="X115" s="122"/>
      <c r="Y115" s="122"/>
    </row>
    <row r="116" spans="1:25" s="115" customFormat="1" ht="30.75" customHeight="1">
      <c r="A116" s="105"/>
      <c r="B116" s="103"/>
      <c r="C116" s="104"/>
      <c r="D116" s="105"/>
      <c r="E116" s="103"/>
      <c r="F116" s="107"/>
      <c r="G116" s="104"/>
      <c r="H116" s="104"/>
      <c r="I116" s="107"/>
      <c r="J116" s="104"/>
      <c r="K116" s="107"/>
      <c r="L116" s="108"/>
      <c r="M116" s="103"/>
      <c r="N116" s="109"/>
      <c r="O116" s="110"/>
      <c r="P116" s="110"/>
      <c r="Q116" s="110">
        <f t="shared" si="16"/>
        <v>0</v>
      </c>
      <c r="R116" s="154"/>
      <c r="S116" s="113">
        <f t="shared" si="14"/>
        <v>0</v>
      </c>
      <c r="T116" s="109"/>
      <c r="U116" s="114">
        <f t="shared" si="1"/>
        <v>0</v>
      </c>
      <c r="V116" s="113">
        <f t="shared" si="15"/>
        <v>0</v>
      </c>
      <c r="W116" s="114">
        <f t="shared" si="3"/>
        <v>0</v>
      </c>
      <c r="X116" s="122"/>
      <c r="Y116" s="122"/>
    </row>
    <row r="117" spans="1:25" s="115" customFormat="1" ht="30.75" customHeight="1">
      <c r="A117" s="105"/>
      <c r="B117" s="103"/>
      <c r="C117" s="104"/>
      <c r="D117" s="105"/>
      <c r="E117" s="103"/>
      <c r="F117" s="104"/>
      <c r="G117" s="125"/>
      <c r="H117" s="104"/>
      <c r="I117" s="107"/>
      <c r="J117" s="104"/>
      <c r="K117" s="107"/>
      <c r="L117" s="108"/>
      <c r="M117" s="103"/>
      <c r="N117" s="109"/>
      <c r="O117" s="110"/>
      <c r="P117" s="110"/>
      <c r="Q117" s="110">
        <f t="shared" si="16"/>
        <v>0</v>
      </c>
      <c r="R117" s="154"/>
      <c r="S117" s="113">
        <f t="shared" si="14"/>
        <v>0</v>
      </c>
      <c r="T117" s="109"/>
      <c r="U117" s="114">
        <f t="shared" si="1"/>
        <v>0</v>
      </c>
      <c r="V117" s="113">
        <f t="shared" si="15"/>
        <v>0</v>
      </c>
      <c r="W117" s="114">
        <f t="shared" si="3"/>
        <v>0</v>
      </c>
      <c r="X117" s="122"/>
      <c r="Y117" s="122"/>
    </row>
    <row r="118" spans="1:25" s="115" customFormat="1" ht="30.75" customHeight="1">
      <c r="A118" s="105"/>
      <c r="B118" s="103"/>
      <c r="C118" s="104"/>
      <c r="D118" s="105"/>
      <c r="E118" s="103"/>
      <c r="F118" s="107"/>
      <c r="G118" s="125"/>
      <c r="H118" s="104"/>
      <c r="I118" s="107"/>
      <c r="J118" s="104"/>
      <c r="K118" s="107"/>
      <c r="L118" s="108"/>
      <c r="M118" s="103"/>
      <c r="N118" s="109"/>
      <c r="O118" s="110"/>
      <c r="P118" s="110"/>
      <c r="Q118" s="110">
        <f t="shared" si="16"/>
        <v>0</v>
      </c>
      <c r="R118" s="154"/>
      <c r="S118" s="113">
        <f t="shared" si="14"/>
        <v>0</v>
      </c>
      <c r="T118" s="109"/>
      <c r="U118" s="114">
        <f t="shared" si="1"/>
        <v>0</v>
      </c>
      <c r="V118" s="113">
        <f t="shared" si="15"/>
        <v>0</v>
      </c>
      <c r="W118" s="114">
        <f t="shared" si="3"/>
        <v>0</v>
      </c>
      <c r="X118" s="122"/>
      <c r="Y118" s="122"/>
    </row>
    <row r="119" spans="1:25" s="115" customFormat="1" ht="30.75" customHeight="1">
      <c r="A119" s="105"/>
      <c r="B119" s="103"/>
      <c r="C119" s="104"/>
      <c r="D119" s="105"/>
      <c r="E119" s="103"/>
      <c r="F119" s="125"/>
      <c r="G119" s="125"/>
      <c r="H119" s="104"/>
      <c r="I119" s="107"/>
      <c r="J119" s="104"/>
      <c r="K119" s="107"/>
      <c r="L119" s="108"/>
      <c r="M119" s="103"/>
      <c r="N119" s="109"/>
      <c r="O119" s="110"/>
      <c r="P119" s="110"/>
      <c r="Q119" s="110">
        <f t="shared" si="16"/>
        <v>0</v>
      </c>
      <c r="R119" s="154"/>
      <c r="S119" s="113">
        <f t="shared" si="14"/>
        <v>0</v>
      </c>
      <c r="T119" s="109"/>
      <c r="U119" s="114">
        <f t="shared" si="1"/>
        <v>0</v>
      </c>
      <c r="V119" s="113">
        <f t="shared" si="15"/>
        <v>0</v>
      </c>
      <c r="W119" s="114">
        <f t="shared" si="3"/>
        <v>0</v>
      </c>
      <c r="X119" s="122"/>
      <c r="Y119" s="122"/>
    </row>
    <row r="120" spans="1:25" s="115" customFormat="1" ht="30.75" customHeight="1">
      <c r="A120" s="105"/>
      <c r="B120" s="103"/>
      <c r="C120" s="104"/>
      <c r="D120" s="105"/>
      <c r="E120" s="103"/>
      <c r="F120" s="107"/>
      <c r="G120" s="125"/>
      <c r="H120" s="104"/>
      <c r="I120" s="107"/>
      <c r="J120" s="104"/>
      <c r="K120" s="107"/>
      <c r="L120" s="108"/>
      <c r="M120" s="103"/>
      <c r="N120" s="109"/>
      <c r="O120" s="110"/>
      <c r="P120" s="110"/>
      <c r="Q120" s="110">
        <f t="shared" si="16"/>
        <v>0</v>
      </c>
      <c r="R120" s="154"/>
      <c r="S120" s="113">
        <f t="shared" si="14"/>
        <v>0</v>
      </c>
      <c r="T120" s="109"/>
      <c r="U120" s="114">
        <f t="shared" si="1"/>
        <v>0</v>
      </c>
      <c r="V120" s="113">
        <f t="shared" si="15"/>
        <v>0</v>
      </c>
      <c r="W120" s="114">
        <f t="shared" si="3"/>
        <v>0</v>
      </c>
      <c r="X120" s="122"/>
      <c r="Y120" s="122"/>
    </row>
    <row r="121" spans="1:25" s="115" customFormat="1" ht="30.75" customHeight="1">
      <c r="A121" s="105"/>
      <c r="B121" s="103"/>
      <c r="C121" s="104"/>
      <c r="D121" s="105"/>
      <c r="E121" s="103"/>
      <c r="F121" s="125"/>
      <c r="G121" s="125"/>
      <c r="H121" s="104"/>
      <c r="I121" s="107"/>
      <c r="J121" s="104"/>
      <c r="K121" s="126"/>
      <c r="L121" s="117"/>
      <c r="M121" s="103"/>
      <c r="N121" s="109"/>
      <c r="O121" s="110"/>
      <c r="P121" s="110"/>
      <c r="Q121" s="110">
        <f t="shared" si="16"/>
        <v>0</v>
      </c>
      <c r="R121" s="154"/>
      <c r="S121" s="113">
        <f t="shared" si="14"/>
        <v>0</v>
      </c>
      <c r="T121" s="109"/>
      <c r="U121" s="114">
        <f t="shared" si="1"/>
        <v>0</v>
      </c>
      <c r="V121" s="113">
        <f t="shared" si="15"/>
        <v>0</v>
      </c>
      <c r="W121" s="114">
        <f t="shared" si="3"/>
        <v>0</v>
      </c>
      <c r="X121" s="122"/>
      <c r="Y121" s="122"/>
    </row>
    <row r="122" spans="1:25" s="115" customFormat="1" ht="30.75" customHeight="1">
      <c r="A122" s="105"/>
      <c r="B122" s="103"/>
      <c r="C122" s="104"/>
      <c r="D122" s="127"/>
      <c r="E122" s="128"/>
      <c r="F122" s="126"/>
      <c r="G122" s="129"/>
      <c r="H122" s="126"/>
      <c r="I122" s="107"/>
      <c r="J122" s="126"/>
      <c r="K122" s="126"/>
      <c r="L122" s="126"/>
      <c r="M122" s="103"/>
      <c r="N122" s="130"/>
      <c r="O122" s="131"/>
      <c r="P122" s="131"/>
      <c r="Q122" s="110">
        <f t="shared" si="16"/>
        <v>0</v>
      </c>
      <c r="R122" s="156"/>
      <c r="S122" s="113">
        <f t="shared" si="14"/>
        <v>0</v>
      </c>
      <c r="T122" s="109"/>
      <c r="U122" s="114">
        <f t="shared" si="1"/>
        <v>0</v>
      </c>
      <c r="V122" s="113">
        <f t="shared" si="15"/>
        <v>0</v>
      </c>
      <c r="W122" s="114">
        <f t="shared" si="3"/>
        <v>0</v>
      </c>
      <c r="X122" s="122"/>
      <c r="Y122" s="122"/>
    </row>
    <row r="123" spans="1:25" s="115" customFormat="1" ht="30.75" customHeight="1">
      <c r="A123" s="105"/>
      <c r="B123" s="103"/>
      <c r="C123" s="104"/>
      <c r="D123" s="105"/>
      <c r="E123" s="103"/>
      <c r="F123" s="106"/>
      <c r="G123" s="112"/>
      <c r="H123" s="104"/>
      <c r="I123" s="107"/>
      <c r="J123" s="104"/>
      <c r="K123" s="107"/>
      <c r="L123" s="107"/>
      <c r="M123" s="103"/>
      <c r="N123" s="109"/>
      <c r="O123" s="110"/>
      <c r="P123" s="110"/>
      <c r="Q123" s="110">
        <f t="shared" ref="Q123:Q128" si="17">SUM(N123:P123)</f>
        <v>0</v>
      </c>
      <c r="R123" s="154"/>
      <c r="S123" s="119">
        <f t="shared" si="14"/>
        <v>0</v>
      </c>
      <c r="T123" s="120"/>
      <c r="U123" s="114">
        <f t="shared" ref="U123:U132" si="18">IF(Q123&lt;(IF(ISBLANK(T123),S123,S123*T123)),0,Q123-(IF(ISBLANK(T123),S123,S123*T123)))</f>
        <v>0</v>
      </c>
      <c r="V123" s="113">
        <f t="shared" si="15"/>
        <v>0</v>
      </c>
      <c r="W123" s="121">
        <f t="shared" ref="W123:W132" si="19">IF(Q123&lt;(IF(ISBLANK(T123),V123,V123*T123)),0,Q123-(IF(ISBLANK(T123),V123,V123*T123)))</f>
        <v>0</v>
      </c>
      <c r="X123" s="122"/>
      <c r="Y123" s="122"/>
    </row>
    <row r="124" spans="1:25" s="115" customFormat="1" ht="30.75" customHeight="1">
      <c r="A124" s="105"/>
      <c r="B124" s="103"/>
      <c r="C124" s="104"/>
      <c r="D124" s="105"/>
      <c r="E124" s="103"/>
      <c r="F124" s="106"/>
      <c r="G124" s="112"/>
      <c r="H124" s="104"/>
      <c r="I124" s="107"/>
      <c r="J124" s="104"/>
      <c r="K124" s="107"/>
      <c r="L124" s="126"/>
      <c r="M124" s="103"/>
      <c r="N124" s="109"/>
      <c r="O124" s="110"/>
      <c r="P124" s="110"/>
      <c r="Q124" s="110">
        <f t="shared" si="17"/>
        <v>0</v>
      </c>
      <c r="R124" s="154"/>
      <c r="S124" s="119">
        <f t="shared" si="14"/>
        <v>0</v>
      </c>
      <c r="T124" s="120"/>
      <c r="U124" s="114">
        <f t="shared" si="18"/>
        <v>0</v>
      </c>
      <c r="V124" s="113">
        <f t="shared" si="15"/>
        <v>0</v>
      </c>
      <c r="W124" s="121">
        <f t="shared" si="19"/>
        <v>0</v>
      </c>
      <c r="X124" s="122"/>
      <c r="Y124" s="122"/>
    </row>
    <row r="125" spans="1:25" s="115" customFormat="1" ht="30.75" customHeight="1">
      <c r="A125" s="105"/>
      <c r="B125" s="103"/>
      <c r="C125" s="104"/>
      <c r="D125" s="105"/>
      <c r="E125" s="103"/>
      <c r="F125" s="106"/>
      <c r="G125" s="112"/>
      <c r="H125" s="104"/>
      <c r="I125" s="107"/>
      <c r="J125" s="104"/>
      <c r="K125" s="107"/>
      <c r="L125" s="126"/>
      <c r="M125" s="103"/>
      <c r="N125" s="109"/>
      <c r="O125" s="110"/>
      <c r="P125" s="110"/>
      <c r="Q125" s="110">
        <f>SUM(N125:P125)</f>
        <v>0</v>
      </c>
      <c r="R125" s="154"/>
      <c r="S125" s="119">
        <f t="shared" si="14"/>
        <v>0</v>
      </c>
      <c r="T125" s="120"/>
      <c r="U125" s="114">
        <f t="shared" si="18"/>
        <v>0</v>
      </c>
      <c r="V125" s="113">
        <f t="shared" si="15"/>
        <v>0</v>
      </c>
      <c r="W125" s="121">
        <f t="shared" si="19"/>
        <v>0</v>
      </c>
      <c r="X125" s="122"/>
      <c r="Y125" s="122"/>
    </row>
    <row r="126" spans="1:25" s="115" customFormat="1" ht="30.75" customHeight="1">
      <c r="A126" s="105"/>
      <c r="B126" s="103"/>
      <c r="C126" s="104"/>
      <c r="D126" s="105"/>
      <c r="E126" s="103"/>
      <c r="F126" s="106"/>
      <c r="G126" s="112"/>
      <c r="H126" s="104"/>
      <c r="I126" s="107"/>
      <c r="J126" s="104"/>
      <c r="K126" s="107"/>
      <c r="L126" s="107"/>
      <c r="M126" s="103"/>
      <c r="N126" s="109"/>
      <c r="O126" s="110"/>
      <c r="P126" s="110"/>
      <c r="Q126" s="110">
        <f>SUM(N126:P126)</f>
        <v>0</v>
      </c>
      <c r="R126" s="154"/>
      <c r="S126" s="119">
        <f t="shared" si="14"/>
        <v>0</v>
      </c>
      <c r="T126" s="120"/>
      <c r="U126" s="114">
        <f t="shared" si="18"/>
        <v>0</v>
      </c>
      <c r="V126" s="113">
        <f t="shared" si="15"/>
        <v>0</v>
      </c>
      <c r="W126" s="121">
        <f t="shared" si="19"/>
        <v>0</v>
      </c>
      <c r="X126" s="122"/>
      <c r="Y126" s="122"/>
    </row>
    <row r="127" spans="1:25" s="115" customFormat="1" ht="30.75" customHeight="1">
      <c r="A127" s="105"/>
      <c r="B127" s="103"/>
      <c r="C127" s="104"/>
      <c r="D127" s="105"/>
      <c r="E127" s="103"/>
      <c r="F127" s="106"/>
      <c r="G127" s="112"/>
      <c r="H127" s="104"/>
      <c r="I127" s="107"/>
      <c r="J127" s="104"/>
      <c r="K127" s="107"/>
      <c r="L127" s="126"/>
      <c r="M127" s="103"/>
      <c r="N127" s="109"/>
      <c r="O127" s="110"/>
      <c r="P127" s="110"/>
      <c r="Q127" s="110">
        <f t="shared" si="17"/>
        <v>0</v>
      </c>
      <c r="R127" s="154"/>
      <c r="S127" s="119">
        <f t="shared" si="14"/>
        <v>0</v>
      </c>
      <c r="T127" s="120"/>
      <c r="U127" s="114">
        <f t="shared" si="18"/>
        <v>0</v>
      </c>
      <c r="V127" s="113">
        <f t="shared" si="15"/>
        <v>0</v>
      </c>
      <c r="W127" s="121">
        <f t="shared" si="19"/>
        <v>0</v>
      </c>
      <c r="X127" s="122"/>
      <c r="Y127" s="122"/>
    </row>
    <row r="128" spans="1:25" s="115" customFormat="1" ht="30.75" customHeight="1">
      <c r="A128" s="105"/>
      <c r="B128" s="103"/>
      <c r="C128" s="104"/>
      <c r="D128" s="105"/>
      <c r="E128" s="103"/>
      <c r="F128" s="106"/>
      <c r="G128" s="112"/>
      <c r="H128" s="104"/>
      <c r="I128" s="107"/>
      <c r="J128" s="104"/>
      <c r="K128" s="107"/>
      <c r="L128" s="107"/>
      <c r="M128" s="103"/>
      <c r="N128" s="109"/>
      <c r="O128" s="110"/>
      <c r="P128" s="110"/>
      <c r="Q128" s="110">
        <f t="shared" si="17"/>
        <v>0</v>
      </c>
      <c r="R128" s="154"/>
      <c r="S128" s="119">
        <f t="shared" si="14"/>
        <v>0</v>
      </c>
      <c r="T128" s="120"/>
      <c r="U128" s="114">
        <f t="shared" si="18"/>
        <v>0</v>
      </c>
      <c r="V128" s="113">
        <f t="shared" si="15"/>
        <v>0</v>
      </c>
      <c r="W128" s="121">
        <f t="shared" si="19"/>
        <v>0</v>
      </c>
      <c r="X128" s="122"/>
      <c r="Y128" s="122"/>
    </row>
    <row r="129" spans="1:25" s="115" customFormat="1" ht="30.75" customHeight="1">
      <c r="A129" s="105"/>
      <c r="B129" s="103"/>
      <c r="C129" s="104"/>
      <c r="D129" s="105"/>
      <c r="E129" s="103"/>
      <c r="F129" s="106"/>
      <c r="G129" s="112"/>
      <c r="H129" s="104"/>
      <c r="I129" s="107"/>
      <c r="J129" s="104"/>
      <c r="K129" s="107"/>
      <c r="L129" s="107"/>
      <c r="M129" s="103"/>
      <c r="N129" s="109"/>
      <c r="O129" s="110"/>
      <c r="P129" s="110"/>
      <c r="Q129" s="110">
        <f>SUM(N129:P129)</f>
        <v>0</v>
      </c>
      <c r="R129" s="154"/>
      <c r="S129" s="119">
        <f t="shared" si="14"/>
        <v>0</v>
      </c>
      <c r="T129" s="120"/>
      <c r="U129" s="114">
        <f t="shared" si="18"/>
        <v>0</v>
      </c>
      <c r="V129" s="113">
        <f t="shared" si="15"/>
        <v>0</v>
      </c>
      <c r="W129" s="121">
        <f t="shared" si="19"/>
        <v>0</v>
      </c>
      <c r="X129" s="122"/>
      <c r="Y129" s="122"/>
    </row>
    <row r="130" spans="1:25" s="115" customFormat="1" ht="30.75" customHeight="1">
      <c r="A130" s="105"/>
      <c r="B130" s="103"/>
      <c r="C130" s="104"/>
      <c r="D130" s="105"/>
      <c r="E130" s="103"/>
      <c r="F130" s="106"/>
      <c r="G130" s="112"/>
      <c r="H130" s="104"/>
      <c r="I130" s="107"/>
      <c r="J130" s="104"/>
      <c r="K130" s="107"/>
      <c r="L130" s="107"/>
      <c r="M130" s="103"/>
      <c r="N130" s="110"/>
      <c r="O130" s="110"/>
      <c r="P130" s="110"/>
      <c r="Q130" s="110">
        <f>SUM(N130:P130)</f>
        <v>0</v>
      </c>
      <c r="R130" s="154"/>
      <c r="S130" s="119">
        <f t="shared" si="14"/>
        <v>0</v>
      </c>
      <c r="T130" s="120"/>
      <c r="U130" s="114">
        <f t="shared" si="18"/>
        <v>0</v>
      </c>
      <c r="V130" s="113">
        <f t="shared" si="15"/>
        <v>0</v>
      </c>
      <c r="W130" s="121">
        <f t="shared" si="19"/>
        <v>0</v>
      </c>
      <c r="X130" s="122"/>
      <c r="Y130" s="122"/>
    </row>
    <row r="131" spans="1:25" s="115" customFormat="1" ht="30.75" customHeight="1">
      <c r="A131" s="105"/>
      <c r="B131" s="103"/>
      <c r="C131" s="104"/>
      <c r="D131" s="105"/>
      <c r="E131" s="103"/>
      <c r="F131" s="106"/>
      <c r="G131" s="112"/>
      <c r="H131" s="104"/>
      <c r="I131" s="107"/>
      <c r="J131" s="104"/>
      <c r="K131" s="107"/>
      <c r="L131" s="107"/>
      <c r="M131" s="103"/>
      <c r="N131" s="110"/>
      <c r="O131" s="110"/>
      <c r="P131" s="110"/>
      <c r="Q131" s="110">
        <f>SUM(N131:P131)</f>
        <v>0</v>
      </c>
      <c r="R131" s="154"/>
      <c r="S131" s="119">
        <f t="shared" si="14"/>
        <v>0</v>
      </c>
      <c r="T131" s="120"/>
      <c r="U131" s="114">
        <f t="shared" si="18"/>
        <v>0</v>
      </c>
      <c r="V131" s="113">
        <f t="shared" si="15"/>
        <v>0</v>
      </c>
      <c r="W131" s="121">
        <f t="shared" si="19"/>
        <v>0</v>
      </c>
      <c r="X131" s="122"/>
      <c r="Y131" s="122"/>
    </row>
    <row r="132" spans="1:25" s="115" customFormat="1" ht="30.75" customHeight="1">
      <c r="A132" s="105"/>
      <c r="B132" s="103"/>
      <c r="C132" s="104"/>
      <c r="D132" s="105"/>
      <c r="E132" s="103"/>
      <c r="F132" s="106"/>
      <c r="G132" s="112"/>
      <c r="H132" s="104"/>
      <c r="I132" s="107"/>
      <c r="J132" s="104"/>
      <c r="K132" s="107"/>
      <c r="L132" s="107"/>
      <c r="M132" s="103"/>
      <c r="N132" s="109"/>
      <c r="O132" s="110"/>
      <c r="P132" s="110"/>
      <c r="Q132" s="110">
        <f>SUM(N132:P132)</f>
        <v>0</v>
      </c>
      <c r="R132" s="154"/>
      <c r="S132" s="119">
        <f t="shared" si="14"/>
        <v>0</v>
      </c>
      <c r="T132" s="120"/>
      <c r="U132" s="114">
        <f t="shared" si="18"/>
        <v>0</v>
      </c>
      <c r="V132" s="113">
        <f t="shared" si="15"/>
        <v>0</v>
      </c>
      <c r="W132" s="121">
        <f t="shared" si="19"/>
        <v>0</v>
      </c>
      <c r="X132" s="122"/>
      <c r="Y132" s="122"/>
    </row>
    <row r="133" spans="1:25" s="115" customFormat="1" ht="30.75" customHeight="1">
      <c r="A133" s="105"/>
      <c r="B133" s="103"/>
      <c r="C133" s="133"/>
      <c r="D133" s="134"/>
      <c r="E133" s="132"/>
      <c r="F133" s="128"/>
      <c r="G133" s="135"/>
      <c r="H133" s="133"/>
      <c r="I133" s="126"/>
      <c r="J133" s="133"/>
      <c r="K133" s="126"/>
      <c r="L133" s="126"/>
      <c r="M133" s="132"/>
      <c r="N133" s="136"/>
      <c r="O133" s="136"/>
      <c r="P133" s="136"/>
      <c r="Q133" s="136">
        <f t="shared" ref="Q133:Q135" si="20">SUM(N133:P133)</f>
        <v>0</v>
      </c>
      <c r="R133" s="157"/>
      <c r="S133" s="137">
        <f t="shared" si="14"/>
        <v>0</v>
      </c>
      <c r="T133" s="138"/>
      <c r="U133" s="160">
        <f t="shared" ref="U133:U135" si="21">IF(Q133&lt;(IF(ISBLANK(T133),S133,S133*T133)),0,Q133-(IF(ISBLANK(T133),S133,S133*T133)))</f>
        <v>0</v>
      </c>
      <c r="V133" s="139">
        <f t="shared" si="15"/>
        <v>0</v>
      </c>
      <c r="W133" s="140">
        <f t="shared" ref="W133:W135" si="22">IF(Q133&lt;(IF(ISBLANK(T133),V133,V133*T133)),0,Q133-(IF(ISBLANK(T133),V133,V133*T133)))</f>
        <v>0</v>
      </c>
      <c r="X133" s="122"/>
      <c r="Y133" s="122"/>
    </row>
    <row r="134" spans="1:25" s="115" customFormat="1" ht="30.75" customHeight="1">
      <c r="A134" s="105"/>
      <c r="B134" s="103"/>
      <c r="C134" s="133"/>
      <c r="D134" s="134"/>
      <c r="E134" s="132"/>
      <c r="F134" s="128"/>
      <c r="G134" s="135"/>
      <c r="H134" s="133"/>
      <c r="I134" s="126"/>
      <c r="J134" s="133"/>
      <c r="K134" s="126"/>
      <c r="L134" s="126"/>
      <c r="M134" s="132"/>
      <c r="N134" s="136"/>
      <c r="O134" s="136"/>
      <c r="P134" s="136"/>
      <c r="Q134" s="136">
        <f t="shared" si="20"/>
        <v>0</v>
      </c>
      <c r="R134" s="157"/>
      <c r="S134" s="137">
        <f t="shared" si="14"/>
        <v>0</v>
      </c>
      <c r="T134" s="138"/>
      <c r="U134" s="160">
        <f t="shared" si="21"/>
        <v>0</v>
      </c>
      <c r="V134" s="139">
        <f t="shared" si="15"/>
        <v>0</v>
      </c>
      <c r="W134" s="140">
        <f t="shared" si="22"/>
        <v>0</v>
      </c>
      <c r="X134" s="122"/>
      <c r="Y134" s="122"/>
    </row>
    <row r="135" spans="1:25" s="115" customFormat="1" ht="30.75" customHeight="1">
      <c r="A135" s="105"/>
      <c r="B135" s="103"/>
      <c r="C135" s="133"/>
      <c r="D135" s="134"/>
      <c r="E135" s="132"/>
      <c r="F135" s="128"/>
      <c r="G135" s="135"/>
      <c r="H135" s="133"/>
      <c r="I135" s="126"/>
      <c r="J135" s="133"/>
      <c r="K135" s="126"/>
      <c r="L135" s="126"/>
      <c r="M135" s="132"/>
      <c r="N135" s="130"/>
      <c r="O135" s="136"/>
      <c r="P135" s="136"/>
      <c r="Q135" s="136">
        <f t="shared" si="20"/>
        <v>0</v>
      </c>
      <c r="R135" s="157"/>
      <c r="S135" s="137">
        <f t="shared" si="14"/>
        <v>0</v>
      </c>
      <c r="T135" s="138"/>
      <c r="U135" s="160">
        <f t="shared" si="21"/>
        <v>0</v>
      </c>
      <c r="V135" s="139">
        <f t="shared" si="15"/>
        <v>0</v>
      </c>
      <c r="W135" s="140">
        <f t="shared" si="22"/>
        <v>0</v>
      </c>
      <c r="X135" s="122"/>
      <c r="Y135" s="122"/>
    </row>
    <row r="136" spans="1:25" s="115" customFormat="1" ht="30.75" customHeight="1">
      <c r="A136" s="105"/>
      <c r="B136" s="103"/>
      <c r="C136" s="104"/>
      <c r="D136" s="105"/>
      <c r="E136" s="103"/>
      <c r="F136" s="106"/>
      <c r="G136" s="112"/>
      <c r="H136" s="104"/>
      <c r="I136" s="126"/>
      <c r="J136" s="104"/>
      <c r="K136" s="107"/>
      <c r="L136" s="107"/>
      <c r="M136" s="103"/>
      <c r="N136" s="109"/>
      <c r="O136" s="110"/>
      <c r="P136" s="110"/>
      <c r="Q136" s="110">
        <f t="shared" ref="Q136:Q137" si="23">SUM(N136:P136)</f>
        <v>0</v>
      </c>
      <c r="R136" s="154"/>
      <c r="S136" s="119">
        <f t="shared" si="14"/>
        <v>0</v>
      </c>
      <c r="T136" s="120"/>
      <c r="U136" s="114">
        <f t="shared" ref="U136:U137" si="24">IF(Q136&lt;(IF(ISBLANK(T136),S136,S136*T136)),0,Q136-(IF(ISBLANK(T136),S136,S136*T136)))</f>
        <v>0</v>
      </c>
      <c r="V136" s="113">
        <f t="shared" si="15"/>
        <v>0</v>
      </c>
      <c r="W136" s="121">
        <f t="shared" ref="W136:W137" si="25">IF(Q136&lt;(IF(ISBLANK(T136),V136,V136*T136)),0,Q136-(IF(ISBLANK(T136),V136,V136*T136)))</f>
        <v>0</v>
      </c>
      <c r="X136" s="122"/>
      <c r="Y136" s="122"/>
    </row>
    <row r="137" spans="1:25" s="115" customFormat="1" ht="30.75" customHeight="1">
      <c r="A137" s="105"/>
      <c r="B137" s="103"/>
      <c r="C137" s="104"/>
      <c r="D137" s="134"/>
      <c r="E137" s="132"/>
      <c r="F137" s="128"/>
      <c r="G137" s="135"/>
      <c r="H137" s="133"/>
      <c r="I137" s="126"/>
      <c r="J137" s="133"/>
      <c r="K137" s="126"/>
      <c r="L137" s="126"/>
      <c r="M137" s="103"/>
      <c r="N137" s="136"/>
      <c r="O137" s="136"/>
      <c r="P137" s="136"/>
      <c r="Q137" s="136">
        <f t="shared" si="23"/>
        <v>0</v>
      </c>
      <c r="R137" s="157"/>
      <c r="S137" s="137">
        <f t="shared" si="14"/>
        <v>0</v>
      </c>
      <c r="T137" s="138"/>
      <c r="U137" s="160">
        <f t="shared" si="24"/>
        <v>0</v>
      </c>
      <c r="V137" s="139">
        <f t="shared" si="15"/>
        <v>0</v>
      </c>
      <c r="W137" s="140">
        <f t="shared" si="25"/>
        <v>0</v>
      </c>
      <c r="X137" s="122"/>
      <c r="Y137" s="122"/>
    </row>
    <row r="138" spans="1:25" s="115" customFormat="1" ht="30.75" customHeight="1">
      <c r="A138" s="105"/>
      <c r="B138" s="103"/>
      <c r="C138" s="133"/>
      <c r="D138" s="105"/>
      <c r="E138" s="103"/>
      <c r="F138" s="128"/>
      <c r="G138" s="112"/>
      <c r="H138" s="104"/>
      <c r="I138" s="107"/>
      <c r="J138" s="104"/>
      <c r="K138" s="126"/>
      <c r="L138" s="126"/>
      <c r="M138" s="132"/>
      <c r="N138" s="109"/>
      <c r="O138" s="110"/>
      <c r="P138" s="110"/>
      <c r="Q138" s="110">
        <f>SUM(N138:P138)</f>
        <v>0</v>
      </c>
      <c r="R138" s="154"/>
      <c r="S138" s="119">
        <f t="shared" si="14"/>
        <v>0</v>
      </c>
      <c r="T138" s="120"/>
      <c r="U138" s="114">
        <f t="shared" ref="U138:U139" si="26">IF(Q138&lt;(IF(ISBLANK(T138),S138,S138*T138)),0,Q138-(IF(ISBLANK(T138),S138,S138*T138)))</f>
        <v>0</v>
      </c>
      <c r="V138" s="113">
        <f t="shared" si="15"/>
        <v>0</v>
      </c>
      <c r="W138" s="121">
        <f t="shared" ref="W138:W139" si="27">IF(Q138&lt;(IF(ISBLANK(T138),V138,V138*T138)),0,Q138-(IF(ISBLANK(T138),V138,V138*T138)))</f>
        <v>0</v>
      </c>
      <c r="X138" s="122"/>
      <c r="Y138" s="122"/>
    </row>
    <row r="139" spans="1:25" s="115" customFormat="1" ht="30.75" customHeight="1">
      <c r="A139" s="105"/>
      <c r="B139" s="103"/>
      <c r="C139" s="133"/>
      <c r="D139" s="105"/>
      <c r="E139" s="103"/>
      <c r="F139" s="128"/>
      <c r="G139" s="112"/>
      <c r="H139" s="104"/>
      <c r="I139" s="107"/>
      <c r="J139" s="104"/>
      <c r="K139" s="107"/>
      <c r="L139" s="107"/>
      <c r="M139" s="132"/>
      <c r="N139" s="109"/>
      <c r="O139" s="110"/>
      <c r="P139" s="110"/>
      <c r="Q139" s="110">
        <f>SUM(N139:P139)</f>
        <v>0</v>
      </c>
      <c r="R139" s="154"/>
      <c r="S139" s="119">
        <f t="shared" si="14"/>
        <v>0</v>
      </c>
      <c r="T139" s="120"/>
      <c r="U139" s="114">
        <f t="shared" si="26"/>
        <v>0</v>
      </c>
      <c r="V139" s="113">
        <f t="shared" si="15"/>
        <v>0</v>
      </c>
      <c r="W139" s="121">
        <f t="shared" si="27"/>
        <v>0</v>
      </c>
      <c r="X139" s="122"/>
      <c r="Y139" s="122"/>
    </row>
    <row r="140" spans="1:25" s="115" customFormat="1" ht="30.75" customHeight="1">
      <c r="A140" s="105"/>
      <c r="B140" s="103"/>
      <c r="C140" s="133"/>
      <c r="D140" s="105"/>
      <c r="E140" s="103"/>
      <c r="F140" s="128"/>
      <c r="G140" s="112"/>
      <c r="H140" s="104"/>
      <c r="I140" s="107"/>
      <c r="J140" s="104"/>
      <c r="K140" s="126"/>
      <c r="L140" s="126"/>
      <c r="M140" s="132"/>
      <c r="N140" s="109"/>
      <c r="O140" s="136"/>
      <c r="P140" s="110"/>
      <c r="Q140" s="110">
        <f>SUM(N140:P140)</f>
        <v>0</v>
      </c>
      <c r="R140" s="154"/>
      <c r="S140" s="119">
        <f t="shared" si="14"/>
        <v>0</v>
      </c>
      <c r="T140" s="120"/>
      <c r="U140" s="114">
        <f t="shared" ref="U140" si="28">IF(Q140&lt;(IF(ISBLANK(T140),S140,S140*T140)),0,Q140-(IF(ISBLANK(T140),S140,S140*T140)))</f>
        <v>0</v>
      </c>
      <c r="V140" s="113">
        <f t="shared" si="15"/>
        <v>0</v>
      </c>
      <c r="W140" s="121">
        <f t="shared" ref="W140" si="29">IF(Q140&lt;(IF(ISBLANK(T140),V140,V140*T140)),0,Q140-(IF(ISBLANK(T140),V140,V140*T140)))</f>
        <v>0</v>
      </c>
      <c r="X140" s="122"/>
      <c r="Y140" s="122"/>
    </row>
    <row r="141" spans="1:25" s="115" customFormat="1" ht="30.75" customHeight="1">
      <c r="A141" s="105"/>
      <c r="B141" s="103"/>
      <c r="C141" s="133"/>
      <c r="D141" s="134"/>
      <c r="E141" s="132"/>
      <c r="F141" s="128"/>
      <c r="G141" s="135"/>
      <c r="H141" s="133"/>
      <c r="I141" s="126"/>
      <c r="J141" s="133"/>
      <c r="K141" s="126"/>
      <c r="L141" s="126"/>
      <c r="M141" s="132"/>
      <c r="N141" s="130"/>
      <c r="O141" s="136"/>
      <c r="P141" s="136"/>
      <c r="Q141" s="136"/>
      <c r="R141" s="154"/>
      <c r="S141" s="137"/>
      <c r="T141" s="138"/>
      <c r="U141" s="160"/>
      <c r="V141" s="139"/>
      <c r="W141" s="140"/>
      <c r="X141" s="122"/>
      <c r="Y141" s="122"/>
    </row>
    <row r="142" spans="1:25" s="115" customFormat="1" ht="30.75" customHeight="1">
      <c r="A142" s="105"/>
      <c r="B142" s="103"/>
      <c r="C142" s="133"/>
      <c r="D142" s="134"/>
      <c r="E142" s="132"/>
      <c r="F142" s="128"/>
      <c r="G142" s="135"/>
      <c r="H142" s="133"/>
      <c r="I142" s="126"/>
      <c r="J142" s="133"/>
      <c r="K142" s="126"/>
      <c r="L142" s="126"/>
      <c r="M142" s="132"/>
      <c r="N142" s="130"/>
      <c r="O142" s="136"/>
      <c r="P142" s="136"/>
      <c r="Q142" s="136"/>
      <c r="R142" s="154"/>
      <c r="S142" s="137"/>
      <c r="T142" s="138"/>
      <c r="U142" s="160"/>
      <c r="V142" s="139"/>
      <c r="W142" s="140"/>
      <c r="X142" s="122"/>
      <c r="Y142" s="122"/>
    </row>
    <row r="143" spans="1:25" s="115" customFormat="1" ht="30.75" customHeight="1">
      <c r="A143" s="105"/>
      <c r="B143" s="103"/>
      <c r="C143" s="133"/>
      <c r="D143" s="134"/>
      <c r="E143" s="132"/>
      <c r="F143" s="128"/>
      <c r="G143" s="135"/>
      <c r="H143" s="133"/>
      <c r="I143" s="126"/>
      <c r="J143" s="133"/>
      <c r="K143" s="126"/>
      <c r="L143" s="126"/>
      <c r="M143" s="132"/>
      <c r="N143" s="130"/>
      <c r="O143" s="136"/>
      <c r="P143" s="136"/>
      <c r="Q143" s="136"/>
      <c r="R143" s="154"/>
      <c r="S143" s="137"/>
      <c r="T143" s="138"/>
      <c r="U143" s="160"/>
      <c r="V143" s="139"/>
      <c r="W143" s="140"/>
      <c r="X143" s="122"/>
      <c r="Y143" s="122"/>
    </row>
    <row r="144" spans="1:25" s="115" customFormat="1" ht="30.75" customHeight="1">
      <c r="A144" s="105"/>
      <c r="B144" s="103"/>
      <c r="C144" s="133"/>
      <c r="D144" s="134"/>
      <c r="E144" s="132"/>
      <c r="F144" s="128"/>
      <c r="G144" s="135"/>
      <c r="H144" s="133"/>
      <c r="I144" s="126"/>
      <c r="J144" s="133"/>
      <c r="K144" s="126"/>
      <c r="L144" s="126"/>
      <c r="M144" s="132"/>
      <c r="N144" s="130"/>
      <c r="O144" s="136"/>
      <c r="P144" s="136"/>
      <c r="Q144" s="136"/>
      <c r="R144" s="154"/>
      <c r="S144" s="137"/>
      <c r="T144" s="138"/>
      <c r="U144" s="160"/>
      <c r="V144" s="139"/>
      <c r="W144" s="140"/>
      <c r="X144" s="122"/>
      <c r="Y144" s="122"/>
    </row>
    <row r="145" spans="1:25" s="115" customFormat="1" ht="30.75" customHeight="1">
      <c r="A145" s="105"/>
      <c r="B145" s="103"/>
      <c r="C145" s="133"/>
      <c r="D145" s="134"/>
      <c r="E145" s="132"/>
      <c r="F145" s="128"/>
      <c r="G145" s="135"/>
      <c r="H145" s="133"/>
      <c r="I145" s="126"/>
      <c r="J145" s="133"/>
      <c r="K145" s="126"/>
      <c r="L145" s="126"/>
      <c r="M145" s="132"/>
      <c r="N145" s="130"/>
      <c r="O145" s="136"/>
      <c r="P145" s="136"/>
      <c r="Q145" s="136"/>
      <c r="R145" s="154"/>
      <c r="S145" s="137"/>
      <c r="T145" s="138"/>
      <c r="U145" s="160"/>
      <c r="V145" s="139"/>
      <c r="W145" s="140"/>
      <c r="X145" s="122"/>
      <c r="Y145" s="122"/>
    </row>
    <row r="146" spans="1:25" s="115" customFormat="1" ht="30.75" customHeight="1">
      <c r="A146" s="105"/>
      <c r="B146" s="103"/>
      <c r="C146" s="133"/>
      <c r="D146" s="134"/>
      <c r="E146" s="132"/>
      <c r="F146" s="128"/>
      <c r="G146" s="135"/>
      <c r="H146" s="133"/>
      <c r="I146" s="126"/>
      <c r="J146" s="133"/>
      <c r="K146" s="126"/>
      <c r="L146" s="126"/>
      <c r="M146" s="132"/>
      <c r="N146" s="130"/>
      <c r="O146" s="136"/>
      <c r="P146" s="136"/>
      <c r="Q146" s="136"/>
      <c r="R146" s="154"/>
      <c r="S146" s="137"/>
      <c r="T146" s="138"/>
      <c r="U146" s="160"/>
      <c r="V146" s="139"/>
      <c r="W146" s="140"/>
      <c r="X146" s="122"/>
      <c r="Y146" s="122"/>
    </row>
    <row r="147" spans="1:25" s="115" customFormat="1" ht="30.75" customHeight="1">
      <c r="A147" s="105"/>
      <c r="B147" s="103"/>
      <c r="C147" s="133"/>
      <c r="D147" s="134"/>
      <c r="E147" s="132"/>
      <c r="F147" s="128"/>
      <c r="G147" s="135"/>
      <c r="H147" s="133"/>
      <c r="I147" s="126"/>
      <c r="J147" s="133"/>
      <c r="K147" s="126"/>
      <c r="L147" s="126"/>
      <c r="M147" s="132"/>
      <c r="N147" s="130"/>
      <c r="O147" s="136"/>
      <c r="P147" s="136"/>
      <c r="Q147" s="136"/>
      <c r="R147" s="154"/>
      <c r="S147" s="137"/>
      <c r="T147" s="138"/>
      <c r="U147" s="160"/>
      <c r="V147" s="139"/>
      <c r="W147" s="140"/>
      <c r="X147" s="122"/>
      <c r="Y147" s="122"/>
    </row>
    <row r="148" spans="1:25" s="115" customFormat="1" ht="30.75" customHeight="1">
      <c r="A148" s="105"/>
      <c r="B148" s="103"/>
      <c r="C148" s="133"/>
      <c r="D148" s="134"/>
      <c r="E148" s="132"/>
      <c r="F148" s="128"/>
      <c r="G148" s="135"/>
      <c r="H148" s="133"/>
      <c r="I148" s="126"/>
      <c r="J148" s="133"/>
      <c r="K148" s="126"/>
      <c r="L148" s="126"/>
      <c r="M148" s="132"/>
      <c r="N148" s="130"/>
      <c r="O148" s="136"/>
      <c r="P148" s="136"/>
      <c r="Q148" s="136"/>
      <c r="R148" s="154"/>
      <c r="S148" s="137"/>
      <c r="T148" s="138"/>
      <c r="U148" s="160"/>
      <c r="V148" s="139"/>
      <c r="W148" s="140"/>
      <c r="X148" s="122"/>
      <c r="Y148" s="122"/>
    </row>
    <row r="149" spans="1:25" s="115" customFormat="1" ht="30.75" customHeight="1">
      <c r="A149" s="105"/>
      <c r="B149" s="103"/>
      <c r="C149" s="133"/>
      <c r="D149" s="134"/>
      <c r="E149" s="132"/>
      <c r="F149" s="128"/>
      <c r="G149" s="135"/>
      <c r="H149" s="133"/>
      <c r="I149" s="126"/>
      <c r="J149" s="133"/>
      <c r="K149" s="126"/>
      <c r="L149" s="126"/>
      <c r="M149" s="132"/>
      <c r="N149" s="130"/>
      <c r="O149" s="136"/>
      <c r="P149" s="136"/>
      <c r="Q149" s="136"/>
      <c r="R149" s="154"/>
      <c r="S149" s="137"/>
      <c r="T149" s="138"/>
      <c r="U149" s="160"/>
      <c r="V149" s="139"/>
      <c r="W149" s="140"/>
      <c r="X149" s="122"/>
      <c r="Y149" s="122"/>
    </row>
    <row r="150" spans="1:25" s="115" customFormat="1" ht="30.75" customHeight="1">
      <c r="A150" s="105"/>
      <c r="B150" s="103"/>
      <c r="C150" s="133"/>
      <c r="D150" s="134"/>
      <c r="E150" s="132"/>
      <c r="F150" s="128"/>
      <c r="G150" s="135"/>
      <c r="H150" s="133"/>
      <c r="I150" s="126"/>
      <c r="J150" s="133"/>
      <c r="K150" s="126"/>
      <c r="L150" s="126"/>
      <c r="M150" s="132"/>
      <c r="N150" s="130"/>
      <c r="O150" s="136"/>
      <c r="P150" s="136"/>
      <c r="Q150" s="136"/>
      <c r="R150" s="154"/>
      <c r="S150" s="137"/>
      <c r="T150" s="138"/>
      <c r="U150" s="160"/>
      <c r="V150" s="139"/>
      <c r="W150" s="140"/>
      <c r="X150" s="122"/>
      <c r="Y150" s="122"/>
    </row>
    <row r="151" spans="1:25" s="115" customFormat="1" ht="30.75" customHeight="1">
      <c r="A151" s="105"/>
      <c r="B151" s="103"/>
      <c r="C151" s="133"/>
      <c r="D151" s="134"/>
      <c r="E151" s="132"/>
      <c r="F151" s="128"/>
      <c r="G151" s="135"/>
      <c r="H151" s="133"/>
      <c r="I151" s="126"/>
      <c r="J151" s="133"/>
      <c r="K151" s="126"/>
      <c r="L151" s="126"/>
      <c r="M151" s="132"/>
      <c r="N151" s="130"/>
      <c r="O151" s="136"/>
      <c r="P151" s="136"/>
      <c r="Q151" s="136"/>
      <c r="R151" s="154"/>
      <c r="S151" s="137"/>
      <c r="T151" s="138"/>
      <c r="U151" s="160"/>
      <c r="V151" s="139"/>
      <c r="W151" s="140"/>
      <c r="X151" s="122"/>
      <c r="Y151" s="122"/>
    </row>
    <row r="152" spans="1:25" s="115" customFormat="1" ht="30.75" customHeight="1">
      <c r="A152" s="105"/>
      <c r="B152" s="103"/>
      <c r="C152" s="133"/>
      <c r="D152" s="134"/>
      <c r="E152" s="132"/>
      <c r="F152" s="128"/>
      <c r="G152" s="135"/>
      <c r="H152" s="133"/>
      <c r="I152" s="126"/>
      <c r="J152" s="133"/>
      <c r="K152" s="126"/>
      <c r="L152" s="126"/>
      <c r="M152" s="132"/>
      <c r="N152" s="130"/>
      <c r="O152" s="136"/>
      <c r="P152" s="136"/>
      <c r="Q152" s="136"/>
      <c r="R152" s="154"/>
      <c r="S152" s="137"/>
      <c r="T152" s="138"/>
      <c r="U152" s="160"/>
      <c r="V152" s="139"/>
      <c r="W152" s="140"/>
      <c r="X152" s="122"/>
      <c r="Y152" s="122"/>
    </row>
    <row r="153" spans="1:25" s="115" customFormat="1" ht="30.75" customHeight="1">
      <c r="A153" s="105"/>
      <c r="B153" s="103"/>
      <c r="C153" s="133"/>
      <c r="D153" s="134"/>
      <c r="E153" s="132"/>
      <c r="F153" s="128"/>
      <c r="G153" s="135"/>
      <c r="H153" s="133"/>
      <c r="I153" s="126"/>
      <c r="J153" s="133"/>
      <c r="K153" s="126"/>
      <c r="L153" s="126"/>
      <c r="M153" s="132"/>
      <c r="N153" s="130"/>
      <c r="O153" s="136"/>
      <c r="P153" s="136"/>
      <c r="Q153" s="136"/>
      <c r="R153" s="154"/>
      <c r="S153" s="137"/>
      <c r="T153" s="138"/>
      <c r="U153" s="160"/>
      <c r="V153" s="139"/>
      <c r="W153" s="140"/>
      <c r="X153" s="122"/>
      <c r="Y153" s="122"/>
    </row>
    <row r="154" spans="1:25" s="115" customFormat="1" ht="30.75" customHeight="1">
      <c r="A154" s="105"/>
      <c r="B154" s="103"/>
      <c r="C154" s="133"/>
      <c r="D154" s="134"/>
      <c r="E154" s="132"/>
      <c r="F154" s="128"/>
      <c r="G154" s="135"/>
      <c r="H154" s="133"/>
      <c r="I154" s="126"/>
      <c r="J154" s="133"/>
      <c r="K154" s="126"/>
      <c r="L154" s="126"/>
      <c r="M154" s="132"/>
      <c r="N154" s="130"/>
      <c r="O154" s="136"/>
      <c r="P154" s="136"/>
      <c r="Q154" s="136"/>
      <c r="R154" s="157"/>
      <c r="S154" s="137"/>
      <c r="T154" s="138"/>
      <c r="U154" s="160"/>
      <c r="V154" s="139"/>
      <c r="W154" s="140"/>
      <c r="X154" s="122"/>
      <c r="Y154" s="122"/>
    </row>
    <row r="155" spans="1:25" s="115" customFormat="1" ht="30.75" customHeight="1">
      <c r="A155" s="105"/>
      <c r="B155" s="103"/>
      <c r="C155" s="133"/>
      <c r="D155" s="134"/>
      <c r="E155" s="132"/>
      <c r="F155" s="128"/>
      <c r="G155" s="135"/>
      <c r="H155" s="133"/>
      <c r="I155" s="126"/>
      <c r="J155" s="133"/>
      <c r="K155" s="126"/>
      <c r="L155" s="126"/>
      <c r="M155" s="132"/>
      <c r="N155" s="130"/>
      <c r="O155" s="136"/>
      <c r="P155" s="136"/>
      <c r="Q155" s="136"/>
      <c r="R155" s="157"/>
      <c r="S155" s="137"/>
      <c r="T155" s="138"/>
      <c r="U155" s="160"/>
      <c r="V155" s="139"/>
      <c r="W155" s="140"/>
      <c r="X155" s="122"/>
      <c r="Y155" s="122"/>
    </row>
    <row r="156" spans="1:25" s="115" customFormat="1" ht="30.75" customHeight="1">
      <c r="A156" s="105"/>
      <c r="B156" s="103"/>
      <c r="C156" s="133"/>
      <c r="D156" s="134"/>
      <c r="E156" s="132"/>
      <c r="F156" s="128"/>
      <c r="G156" s="135"/>
      <c r="H156" s="133"/>
      <c r="I156" s="126"/>
      <c r="J156" s="133"/>
      <c r="K156" s="126"/>
      <c r="L156" s="126"/>
      <c r="M156" s="132"/>
      <c r="N156" s="130"/>
      <c r="O156" s="136"/>
      <c r="P156" s="136"/>
      <c r="Q156" s="136"/>
      <c r="R156" s="157"/>
      <c r="S156" s="137"/>
      <c r="T156" s="138"/>
      <c r="U156" s="160"/>
      <c r="V156" s="139"/>
      <c r="W156" s="140"/>
      <c r="X156" s="122"/>
      <c r="Y156" s="122"/>
    </row>
    <row r="157" spans="1:25" s="115" customFormat="1" ht="30.75" customHeight="1">
      <c r="A157" s="105"/>
      <c r="B157" s="103"/>
      <c r="C157" s="133"/>
      <c r="D157" s="134"/>
      <c r="E157" s="132"/>
      <c r="F157" s="128"/>
      <c r="G157" s="135"/>
      <c r="H157" s="133"/>
      <c r="I157" s="126"/>
      <c r="J157" s="133"/>
      <c r="K157" s="107"/>
      <c r="L157" s="126"/>
      <c r="M157" s="132"/>
      <c r="N157" s="130"/>
      <c r="O157" s="136"/>
      <c r="P157" s="136"/>
      <c r="Q157" s="136"/>
      <c r="R157" s="157"/>
      <c r="S157" s="137"/>
      <c r="T157" s="138"/>
      <c r="U157" s="160"/>
      <c r="V157" s="139"/>
      <c r="W157" s="140"/>
      <c r="X157" s="122"/>
      <c r="Y157" s="122"/>
    </row>
    <row r="158" spans="1:25" s="115" customFormat="1" ht="30.75" customHeight="1">
      <c r="A158" s="105"/>
      <c r="B158" s="141"/>
      <c r="C158" s="104"/>
      <c r="D158" s="105"/>
      <c r="E158" s="103"/>
      <c r="F158" s="106"/>
      <c r="G158" s="112"/>
      <c r="H158" s="104"/>
      <c r="I158" s="107"/>
      <c r="J158" s="104"/>
      <c r="K158" s="107"/>
      <c r="L158" s="107"/>
      <c r="M158" s="103"/>
      <c r="N158" s="109"/>
      <c r="O158" s="110"/>
      <c r="P158" s="110"/>
      <c r="Q158" s="110"/>
      <c r="R158" s="154"/>
      <c r="S158" s="119"/>
      <c r="T158" s="120"/>
      <c r="U158" s="114"/>
      <c r="V158" s="113"/>
      <c r="W158" s="121"/>
      <c r="X158" s="122"/>
      <c r="Y158" s="122"/>
    </row>
    <row r="159" spans="1:25" s="115" customFormat="1" ht="30.75" customHeight="1">
      <c r="A159" s="105"/>
      <c r="B159" s="141"/>
      <c r="C159" s="104"/>
      <c r="D159" s="105"/>
      <c r="E159" s="103"/>
      <c r="F159" s="106"/>
      <c r="G159" s="112"/>
      <c r="H159" s="104"/>
      <c r="I159" s="107"/>
      <c r="J159" s="104"/>
      <c r="K159" s="107"/>
      <c r="L159" s="107"/>
      <c r="M159" s="103"/>
      <c r="N159" s="109"/>
      <c r="O159" s="110"/>
      <c r="P159" s="110"/>
      <c r="Q159" s="110"/>
      <c r="R159" s="154"/>
      <c r="S159" s="119"/>
      <c r="T159" s="120"/>
      <c r="U159" s="114"/>
      <c r="V159" s="113"/>
      <c r="W159" s="121"/>
      <c r="X159" s="122"/>
      <c r="Y159" s="122"/>
    </row>
    <row r="160" spans="1:25" s="115" customFormat="1" ht="30.75" customHeight="1">
      <c r="A160" s="105"/>
      <c r="B160" s="141"/>
      <c r="C160" s="104"/>
      <c r="D160" s="105"/>
      <c r="E160" s="103"/>
      <c r="F160" s="106"/>
      <c r="G160" s="112"/>
      <c r="H160" s="104"/>
      <c r="I160" s="107"/>
      <c r="J160" s="104"/>
      <c r="K160" s="107"/>
      <c r="L160" s="107"/>
      <c r="M160" s="103"/>
      <c r="N160" s="109"/>
      <c r="O160" s="110"/>
      <c r="P160" s="110"/>
      <c r="Q160" s="110"/>
      <c r="R160" s="154"/>
      <c r="S160" s="119"/>
      <c r="T160" s="120"/>
      <c r="U160" s="114"/>
      <c r="V160" s="113"/>
      <c r="W160" s="121"/>
      <c r="X160" s="122"/>
      <c r="Y160" s="122"/>
    </row>
    <row r="161" spans="1:25" s="115" customFormat="1" ht="30.75" customHeight="1">
      <c r="A161" s="105"/>
      <c r="B161" s="141"/>
      <c r="C161" s="104"/>
      <c r="D161" s="105"/>
      <c r="E161" s="103"/>
      <c r="F161" s="106"/>
      <c r="G161" s="112"/>
      <c r="H161" s="104"/>
      <c r="I161" s="107"/>
      <c r="J161" s="104"/>
      <c r="K161" s="107"/>
      <c r="L161" s="107"/>
      <c r="M161" s="103"/>
      <c r="N161" s="109"/>
      <c r="O161" s="110"/>
      <c r="P161" s="110"/>
      <c r="Q161" s="110"/>
      <c r="R161" s="154"/>
      <c r="S161" s="119"/>
      <c r="T161" s="120"/>
      <c r="U161" s="114"/>
      <c r="V161" s="113"/>
      <c r="W161" s="121"/>
      <c r="X161" s="122"/>
      <c r="Y161" s="122"/>
    </row>
    <row r="162" spans="1:25" s="115" customFormat="1" ht="30.75" customHeight="1">
      <c r="A162" s="105"/>
      <c r="B162" s="141"/>
      <c r="C162" s="104"/>
      <c r="D162" s="105"/>
      <c r="E162" s="103"/>
      <c r="F162" s="106"/>
      <c r="G162" s="112"/>
      <c r="H162" s="104"/>
      <c r="I162" s="107"/>
      <c r="J162" s="104"/>
      <c r="K162" s="107"/>
      <c r="L162" s="107"/>
      <c r="M162" s="103"/>
      <c r="N162" s="109"/>
      <c r="O162" s="110"/>
      <c r="P162" s="110"/>
      <c r="Q162" s="110"/>
      <c r="R162" s="154"/>
      <c r="S162" s="119"/>
      <c r="T162" s="120"/>
      <c r="U162" s="114"/>
      <c r="V162" s="113"/>
      <c r="W162" s="121"/>
      <c r="X162" s="122"/>
      <c r="Y162" s="122"/>
    </row>
    <row r="163" spans="1:25" s="115" customFormat="1" ht="30.75" customHeight="1">
      <c r="A163" s="105"/>
      <c r="B163" s="141"/>
      <c r="C163" s="104"/>
      <c r="D163" s="105"/>
      <c r="E163" s="103"/>
      <c r="F163" s="106"/>
      <c r="G163" s="112"/>
      <c r="H163" s="104"/>
      <c r="I163" s="107"/>
      <c r="J163" s="104"/>
      <c r="K163" s="107"/>
      <c r="L163" s="107"/>
      <c r="M163" s="103"/>
      <c r="N163" s="109"/>
      <c r="O163" s="110"/>
      <c r="P163" s="110"/>
      <c r="Q163" s="110"/>
      <c r="R163" s="154"/>
      <c r="S163" s="119"/>
      <c r="T163" s="120"/>
      <c r="U163" s="114"/>
      <c r="V163" s="113"/>
      <c r="W163" s="121"/>
      <c r="X163" s="122"/>
      <c r="Y163" s="122"/>
    </row>
    <row r="164" spans="1:25" s="115" customFormat="1" ht="30.75" customHeight="1">
      <c r="A164" s="105"/>
      <c r="B164" s="141"/>
      <c r="C164" s="104"/>
      <c r="D164" s="105"/>
      <c r="E164" s="103"/>
      <c r="F164" s="106"/>
      <c r="G164" s="112"/>
      <c r="H164" s="104"/>
      <c r="I164" s="107"/>
      <c r="J164" s="104"/>
      <c r="K164" s="107"/>
      <c r="L164" s="107"/>
      <c r="M164" s="103"/>
      <c r="N164" s="109"/>
      <c r="O164" s="110"/>
      <c r="P164" s="110"/>
      <c r="Q164" s="110"/>
      <c r="R164" s="154"/>
      <c r="S164" s="119"/>
      <c r="T164" s="120"/>
      <c r="U164" s="114"/>
      <c r="V164" s="113"/>
      <c r="W164" s="121"/>
      <c r="X164" s="122"/>
      <c r="Y164" s="122"/>
    </row>
    <row r="165" spans="1:25" s="115" customFormat="1" ht="30.75" customHeight="1">
      <c r="A165" s="105"/>
      <c r="B165" s="141"/>
      <c r="C165" s="104"/>
      <c r="D165" s="105"/>
      <c r="E165" s="103"/>
      <c r="F165" s="106"/>
      <c r="G165" s="112"/>
      <c r="H165" s="104"/>
      <c r="I165" s="107"/>
      <c r="J165" s="104"/>
      <c r="K165" s="107"/>
      <c r="L165" s="107"/>
      <c r="M165" s="103"/>
      <c r="N165" s="109"/>
      <c r="O165" s="110"/>
      <c r="P165" s="110"/>
      <c r="Q165" s="110"/>
      <c r="R165" s="154"/>
      <c r="S165" s="119"/>
      <c r="T165" s="120"/>
      <c r="U165" s="114"/>
      <c r="V165" s="113"/>
      <c r="W165" s="121"/>
      <c r="X165" s="122"/>
      <c r="Y165" s="122"/>
    </row>
    <row r="166" spans="1:25" s="115" customFormat="1" ht="30.75" customHeight="1">
      <c r="A166" s="105"/>
      <c r="B166" s="141"/>
      <c r="C166" s="104"/>
      <c r="D166" s="105"/>
      <c r="E166" s="103"/>
      <c r="F166" s="106"/>
      <c r="G166" s="112"/>
      <c r="H166" s="104"/>
      <c r="I166" s="107"/>
      <c r="J166" s="104"/>
      <c r="K166" s="107"/>
      <c r="L166" s="107"/>
      <c r="M166" s="103"/>
      <c r="N166" s="109"/>
      <c r="O166" s="110"/>
      <c r="P166" s="110"/>
      <c r="Q166" s="110"/>
      <c r="R166" s="154"/>
      <c r="S166" s="119"/>
      <c r="T166" s="120"/>
      <c r="U166" s="114"/>
      <c r="V166" s="113"/>
      <c r="W166" s="121"/>
      <c r="X166" s="122"/>
      <c r="Y166" s="122"/>
    </row>
    <row r="167" spans="1:25" s="115" customFormat="1" ht="30.75" customHeight="1">
      <c r="A167" s="105"/>
      <c r="B167" s="141"/>
      <c r="C167" s="104"/>
      <c r="D167" s="105"/>
      <c r="E167" s="103"/>
      <c r="F167" s="106"/>
      <c r="G167" s="112"/>
      <c r="H167" s="104"/>
      <c r="I167" s="107"/>
      <c r="J167" s="104"/>
      <c r="K167" s="107"/>
      <c r="L167" s="107"/>
      <c r="M167" s="103"/>
      <c r="N167" s="109"/>
      <c r="O167" s="110"/>
      <c r="P167" s="110"/>
      <c r="Q167" s="110"/>
      <c r="R167" s="154"/>
      <c r="S167" s="119"/>
      <c r="T167" s="120"/>
      <c r="U167" s="114"/>
      <c r="V167" s="113"/>
      <c r="W167" s="121"/>
      <c r="X167" s="122"/>
      <c r="Y167" s="122"/>
    </row>
    <row r="168" spans="1:25" s="115" customFormat="1" ht="30.75" customHeight="1">
      <c r="A168" s="105"/>
      <c r="B168" s="141"/>
      <c r="C168" s="104"/>
      <c r="D168" s="105"/>
      <c r="E168" s="103"/>
      <c r="F168" s="106"/>
      <c r="G168" s="112"/>
      <c r="H168" s="104"/>
      <c r="I168" s="107"/>
      <c r="J168" s="104"/>
      <c r="K168" s="107"/>
      <c r="L168" s="107"/>
      <c r="M168" s="103"/>
      <c r="N168" s="109"/>
      <c r="O168" s="110"/>
      <c r="P168" s="110"/>
      <c r="Q168" s="110"/>
      <c r="R168" s="154"/>
      <c r="S168" s="119"/>
      <c r="T168" s="120"/>
      <c r="U168" s="114"/>
      <c r="V168" s="113"/>
      <c r="W168" s="121"/>
      <c r="X168" s="122"/>
      <c r="Y168" s="122"/>
    </row>
    <row r="169" spans="1:25" s="115" customFormat="1" ht="30.75" customHeight="1">
      <c r="A169" s="105"/>
      <c r="B169" s="141"/>
      <c r="C169" s="104"/>
      <c r="D169" s="105"/>
      <c r="E169" s="103"/>
      <c r="F169" s="106"/>
      <c r="G169" s="112"/>
      <c r="H169" s="104"/>
      <c r="I169" s="107"/>
      <c r="J169" s="104"/>
      <c r="K169" s="107"/>
      <c r="L169" s="107"/>
      <c r="M169" s="103"/>
      <c r="N169" s="109"/>
      <c r="O169" s="110"/>
      <c r="P169" s="110"/>
      <c r="Q169" s="110"/>
      <c r="R169" s="154"/>
      <c r="S169" s="119"/>
      <c r="T169" s="120"/>
      <c r="U169" s="114"/>
      <c r="V169" s="113"/>
      <c r="W169" s="121"/>
      <c r="X169" s="122"/>
      <c r="Y169" s="122"/>
    </row>
    <row r="170" spans="1:25" s="115" customFormat="1" ht="30.75" customHeight="1">
      <c r="A170" s="105"/>
      <c r="B170" s="141"/>
      <c r="C170" s="104"/>
      <c r="D170" s="105"/>
      <c r="E170" s="103"/>
      <c r="F170" s="106"/>
      <c r="G170" s="112"/>
      <c r="H170" s="104"/>
      <c r="I170" s="107"/>
      <c r="J170" s="104"/>
      <c r="K170" s="107"/>
      <c r="L170" s="107"/>
      <c r="M170" s="103"/>
      <c r="N170" s="109"/>
      <c r="O170" s="110"/>
      <c r="P170" s="110"/>
      <c r="Q170" s="110"/>
      <c r="R170" s="154"/>
      <c r="S170" s="119"/>
      <c r="T170" s="120"/>
      <c r="U170" s="114"/>
      <c r="V170" s="113"/>
      <c r="W170" s="121"/>
      <c r="X170" s="122"/>
      <c r="Y170" s="122"/>
    </row>
    <row r="171" spans="1:25" s="115" customFormat="1" ht="30.75" customHeight="1">
      <c r="A171" s="105"/>
      <c r="B171" s="141"/>
      <c r="C171" s="104"/>
      <c r="D171" s="105"/>
      <c r="E171" s="103"/>
      <c r="F171" s="106"/>
      <c r="G171" s="112"/>
      <c r="H171" s="104"/>
      <c r="I171" s="107"/>
      <c r="J171" s="104"/>
      <c r="K171" s="107"/>
      <c r="L171" s="107"/>
      <c r="M171" s="103"/>
      <c r="N171" s="109"/>
      <c r="O171" s="110"/>
      <c r="P171" s="110"/>
      <c r="Q171" s="110"/>
      <c r="R171" s="154"/>
      <c r="S171" s="119"/>
      <c r="T171" s="120"/>
      <c r="U171" s="114"/>
      <c r="V171" s="113"/>
      <c r="W171" s="121"/>
      <c r="X171" s="122"/>
      <c r="Y171" s="122"/>
    </row>
    <row r="172" spans="1:25" s="115" customFormat="1" ht="30.75" customHeight="1">
      <c r="A172" s="105"/>
      <c r="B172" s="141"/>
      <c r="C172" s="104"/>
      <c r="D172" s="105"/>
      <c r="E172" s="103"/>
      <c r="F172" s="106"/>
      <c r="G172" s="112"/>
      <c r="H172" s="104"/>
      <c r="I172" s="107"/>
      <c r="J172" s="104"/>
      <c r="K172" s="107"/>
      <c r="L172" s="107"/>
      <c r="M172" s="103"/>
      <c r="N172" s="109"/>
      <c r="O172" s="110"/>
      <c r="P172" s="110"/>
      <c r="Q172" s="110"/>
      <c r="R172" s="154"/>
      <c r="S172" s="119"/>
      <c r="T172" s="120"/>
      <c r="U172" s="114"/>
      <c r="V172" s="113"/>
      <c r="W172" s="121"/>
      <c r="X172" s="122"/>
      <c r="Y172" s="122"/>
    </row>
    <row r="173" spans="1:25" s="115" customFormat="1" ht="30.75" customHeight="1">
      <c r="A173" s="105"/>
      <c r="B173" s="141"/>
      <c r="C173" s="104"/>
      <c r="D173" s="105"/>
      <c r="E173" s="103"/>
      <c r="F173" s="106"/>
      <c r="G173" s="112"/>
      <c r="H173" s="104"/>
      <c r="I173" s="107"/>
      <c r="J173" s="104"/>
      <c r="K173" s="107"/>
      <c r="L173" s="107"/>
      <c r="M173" s="103"/>
      <c r="N173" s="109"/>
      <c r="O173" s="110"/>
      <c r="P173" s="110"/>
      <c r="Q173" s="110"/>
      <c r="R173" s="154"/>
      <c r="S173" s="119"/>
      <c r="T173" s="120"/>
      <c r="U173" s="114"/>
      <c r="V173" s="113"/>
      <c r="W173" s="121"/>
      <c r="X173" s="122"/>
      <c r="Y173" s="122"/>
    </row>
    <row r="174" spans="1:25" s="115" customFormat="1" ht="30.75" customHeight="1">
      <c r="A174" s="105"/>
      <c r="B174" s="141"/>
      <c r="C174" s="104"/>
      <c r="D174" s="105"/>
      <c r="E174" s="103"/>
      <c r="F174" s="106"/>
      <c r="G174" s="112"/>
      <c r="H174" s="104"/>
      <c r="I174" s="107"/>
      <c r="J174" s="104"/>
      <c r="K174" s="107"/>
      <c r="L174" s="107"/>
      <c r="M174" s="103"/>
      <c r="N174" s="109"/>
      <c r="O174" s="110"/>
      <c r="P174" s="110"/>
      <c r="Q174" s="110"/>
      <c r="R174" s="154"/>
      <c r="S174" s="119"/>
      <c r="T174" s="120"/>
      <c r="U174" s="114"/>
      <c r="V174" s="113"/>
      <c r="W174" s="121"/>
      <c r="X174" s="122"/>
      <c r="Y174" s="122"/>
    </row>
    <row r="175" spans="1:25" s="115" customFormat="1" ht="30.75" customHeight="1">
      <c r="A175" s="105"/>
      <c r="B175" s="141"/>
      <c r="C175" s="104"/>
      <c r="D175" s="105"/>
      <c r="E175" s="103"/>
      <c r="F175" s="106"/>
      <c r="G175" s="112"/>
      <c r="H175" s="104"/>
      <c r="I175" s="107"/>
      <c r="J175" s="104"/>
      <c r="K175" s="107"/>
      <c r="L175" s="107"/>
      <c r="M175" s="103"/>
      <c r="N175" s="109"/>
      <c r="O175" s="110"/>
      <c r="P175" s="110"/>
      <c r="Q175" s="110"/>
      <c r="R175" s="154"/>
      <c r="S175" s="119"/>
      <c r="T175" s="120"/>
      <c r="U175" s="114"/>
      <c r="V175" s="113"/>
      <c r="W175" s="121"/>
      <c r="X175" s="122"/>
      <c r="Y175" s="122"/>
    </row>
    <row r="176" spans="1:25" s="115" customFormat="1" ht="30.75" customHeight="1">
      <c r="A176" s="105"/>
      <c r="B176" s="141"/>
      <c r="C176" s="104"/>
      <c r="D176" s="105"/>
      <c r="E176" s="103"/>
      <c r="F176" s="106"/>
      <c r="G176" s="112"/>
      <c r="H176" s="104"/>
      <c r="I176" s="107"/>
      <c r="J176" s="104"/>
      <c r="K176" s="107"/>
      <c r="L176" s="107"/>
      <c r="M176" s="103"/>
      <c r="N176" s="109"/>
      <c r="O176" s="110"/>
      <c r="P176" s="110"/>
      <c r="Q176" s="110"/>
      <c r="R176" s="154"/>
      <c r="S176" s="119"/>
      <c r="T176" s="120"/>
      <c r="U176" s="114"/>
      <c r="V176" s="113"/>
      <c r="W176" s="121"/>
      <c r="X176" s="122"/>
      <c r="Y176" s="122"/>
    </row>
    <row r="177" spans="1:23">
      <c r="A177" s="105"/>
      <c r="B177" s="141"/>
      <c r="C177" s="104"/>
      <c r="D177" s="105"/>
      <c r="E177" s="103"/>
      <c r="F177" s="106"/>
      <c r="G177" s="112"/>
      <c r="H177" s="104"/>
      <c r="I177" s="107"/>
      <c r="J177" s="104"/>
      <c r="K177" s="107"/>
      <c r="L177" s="107"/>
      <c r="M177" s="103"/>
      <c r="N177" s="109"/>
      <c r="O177" s="110"/>
      <c r="P177" s="110"/>
      <c r="Q177" s="110"/>
      <c r="R177" s="154"/>
      <c r="S177" s="119"/>
      <c r="T177" s="120"/>
      <c r="U177" s="114"/>
      <c r="V177" s="113"/>
      <c r="W177" s="121"/>
    </row>
    <row r="178" spans="1:23">
      <c r="A178" s="105"/>
      <c r="B178" s="141"/>
      <c r="C178" s="104"/>
      <c r="D178" s="105"/>
      <c r="E178" s="103"/>
      <c r="F178" s="106"/>
      <c r="G178" s="112"/>
      <c r="H178" s="104"/>
      <c r="I178" s="107"/>
      <c r="J178" s="104"/>
      <c r="K178" s="107"/>
      <c r="L178" s="107"/>
      <c r="M178" s="103"/>
      <c r="N178" s="109"/>
      <c r="O178" s="110"/>
      <c r="P178" s="110"/>
      <c r="Q178" s="110"/>
      <c r="R178" s="154"/>
      <c r="S178" s="119"/>
      <c r="T178" s="120"/>
      <c r="U178" s="114"/>
      <c r="V178" s="113"/>
      <c r="W178" s="121"/>
    </row>
    <row r="179" spans="1:23">
      <c r="A179" s="105"/>
      <c r="B179" s="141"/>
      <c r="C179" s="104"/>
      <c r="D179" s="105"/>
      <c r="E179" s="103"/>
      <c r="F179" s="106"/>
      <c r="G179" s="112"/>
      <c r="H179" s="104"/>
      <c r="I179" s="107"/>
      <c r="J179" s="104"/>
      <c r="K179" s="107"/>
      <c r="L179" s="107"/>
      <c r="M179" s="103"/>
      <c r="N179" s="109"/>
      <c r="O179" s="110"/>
      <c r="P179" s="110"/>
      <c r="Q179" s="110"/>
      <c r="R179" s="154"/>
      <c r="S179" s="119"/>
      <c r="T179" s="120"/>
      <c r="U179" s="114"/>
      <c r="V179" s="113"/>
      <c r="W179" s="121"/>
    </row>
    <row r="180" spans="1:23">
      <c r="A180" s="105"/>
      <c r="B180" s="141"/>
      <c r="C180" s="104"/>
      <c r="D180" s="105"/>
      <c r="E180" s="103"/>
      <c r="F180" s="106"/>
      <c r="G180" s="112"/>
      <c r="H180" s="104"/>
      <c r="I180" s="107"/>
      <c r="J180" s="104"/>
      <c r="K180" s="107"/>
      <c r="L180" s="107"/>
      <c r="M180" s="103"/>
      <c r="N180" s="109"/>
      <c r="O180" s="110"/>
      <c r="P180" s="110"/>
      <c r="Q180" s="110"/>
      <c r="R180" s="154"/>
      <c r="S180" s="119"/>
      <c r="T180" s="120"/>
      <c r="U180" s="114"/>
      <c r="V180" s="113"/>
      <c r="W180" s="121"/>
    </row>
    <row r="181" spans="1:23">
      <c r="A181" s="105"/>
      <c r="B181" s="141"/>
      <c r="C181" s="104"/>
      <c r="D181" s="105"/>
      <c r="E181" s="103"/>
      <c r="F181" s="106"/>
      <c r="G181" s="112"/>
      <c r="H181" s="104"/>
      <c r="I181" s="107"/>
      <c r="J181" s="104"/>
      <c r="K181" s="107"/>
      <c r="L181" s="107"/>
      <c r="M181" s="103"/>
      <c r="N181" s="109"/>
      <c r="O181" s="110"/>
      <c r="P181" s="110"/>
      <c r="Q181" s="110"/>
      <c r="R181" s="154"/>
      <c r="S181" s="119"/>
      <c r="T181" s="120"/>
      <c r="U181" s="114"/>
      <c r="V181" s="113"/>
      <c r="W181" s="121"/>
    </row>
    <row r="182" spans="1:23">
      <c r="A182" s="105"/>
      <c r="B182" s="141"/>
      <c r="C182" s="104"/>
      <c r="D182" s="105"/>
      <c r="E182" s="103"/>
      <c r="F182" s="106"/>
      <c r="G182" s="112"/>
      <c r="H182" s="104"/>
      <c r="I182" s="107"/>
      <c r="J182" s="104"/>
      <c r="K182" s="107"/>
      <c r="L182" s="107"/>
      <c r="M182" s="103"/>
      <c r="N182" s="109"/>
      <c r="O182" s="110"/>
      <c r="P182" s="110"/>
      <c r="Q182" s="110"/>
      <c r="R182" s="154"/>
      <c r="S182" s="119"/>
      <c r="T182" s="120"/>
      <c r="U182" s="114"/>
      <c r="V182" s="113"/>
      <c r="W182" s="121"/>
    </row>
    <row r="183" spans="1:23">
      <c r="A183" s="105"/>
      <c r="B183" s="141"/>
      <c r="C183" s="104"/>
      <c r="D183" s="105"/>
      <c r="E183" s="103"/>
      <c r="F183" s="106"/>
      <c r="G183" s="112"/>
      <c r="H183" s="104"/>
      <c r="I183" s="107"/>
      <c r="J183" s="104"/>
      <c r="K183" s="107"/>
      <c r="L183" s="107"/>
      <c r="M183" s="103"/>
      <c r="N183" s="109"/>
      <c r="O183" s="110"/>
      <c r="P183" s="110"/>
      <c r="Q183" s="110"/>
      <c r="R183" s="154"/>
      <c r="S183" s="119"/>
      <c r="T183" s="120"/>
      <c r="U183" s="114"/>
      <c r="V183" s="113"/>
      <c r="W183" s="121"/>
    </row>
    <row r="184" spans="1:23">
      <c r="A184" s="105"/>
      <c r="B184" s="141"/>
      <c r="C184" s="104"/>
      <c r="D184" s="105"/>
      <c r="E184" s="103"/>
      <c r="F184" s="106"/>
      <c r="G184" s="112"/>
      <c r="H184" s="104"/>
      <c r="I184" s="107"/>
      <c r="J184" s="104"/>
      <c r="K184" s="107"/>
      <c r="L184" s="107"/>
      <c r="M184" s="103"/>
      <c r="N184" s="109"/>
      <c r="O184" s="110"/>
      <c r="P184" s="110"/>
      <c r="Q184" s="110"/>
      <c r="R184" s="154"/>
      <c r="S184" s="119"/>
      <c r="T184" s="120"/>
      <c r="U184" s="114"/>
      <c r="V184" s="113"/>
      <c r="W184" s="121"/>
    </row>
    <row r="185" spans="1:23">
      <c r="A185" s="105"/>
      <c r="B185" s="141"/>
      <c r="C185" s="104"/>
      <c r="D185" s="105"/>
      <c r="E185" s="103"/>
      <c r="F185" s="106"/>
      <c r="G185" s="112"/>
      <c r="H185" s="104"/>
      <c r="I185" s="107"/>
      <c r="J185" s="104"/>
      <c r="K185" s="107"/>
      <c r="L185" s="107"/>
      <c r="M185" s="103"/>
      <c r="N185" s="109"/>
      <c r="O185" s="110"/>
      <c r="P185" s="110"/>
      <c r="Q185" s="110"/>
      <c r="R185" s="154"/>
      <c r="S185" s="119"/>
      <c r="T185" s="120"/>
      <c r="U185" s="114"/>
      <c r="V185" s="113"/>
      <c r="W185" s="121"/>
    </row>
    <row r="186" spans="1:23">
      <c r="A186" s="105"/>
      <c r="B186" s="141"/>
      <c r="C186" s="104"/>
      <c r="D186" s="105"/>
      <c r="E186" s="103"/>
      <c r="F186" s="106"/>
      <c r="G186" s="112"/>
      <c r="H186" s="104"/>
      <c r="I186" s="107"/>
      <c r="J186" s="104"/>
      <c r="K186" s="107"/>
      <c r="L186" s="107"/>
      <c r="M186" s="103"/>
      <c r="N186" s="109"/>
      <c r="O186" s="110"/>
      <c r="P186" s="110"/>
      <c r="Q186" s="110"/>
      <c r="R186" s="154"/>
      <c r="S186" s="119"/>
      <c r="T186" s="120"/>
      <c r="U186" s="114"/>
      <c r="V186" s="113"/>
      <c r="W186" s="121"/>
    </row>
    <row r="187" spans="1:23">
      <c r="A187" s="105"/>
      <c r="B187" s="141"/>
      <c r="C187" s="104"/>
      <c r="D187" s="105"/>
      <c r="E187" s="103"/>
      <c r="F187" s="106"/>
      <c r="G187" s="112"/>
      <c r="H187" s="104"/>
      <c r="I187" s="107"/>
      <c r="J187" s="104"/>
      <c r="K187" s="107"/>
      <c r="L187" s="107"/>
      <c r="M187" s="103"/>
      <c r="N187" s="109"/>
      <c r="O187" s="110"/>
      <c r="P187" s="110"/>
      <c r="Q187" s="110"/>
      <c r="R187" s="154"/>
      <c r="S187" s="119"/>
      <c r="T187" s="120"/>
      <c r="U187" s="114"/>
      <c r="V187" s="113"/>
      <c r="W187" s="121"/>
    </row>
    <row r="188" spans="1:23">
      <c r="A188" s="105"/>
      <c r="B188" s="141"/>
      <c r="C188" s="104"/>
      <c r="D188" s="105"/>
      <c r="E188" s="103"/>
      <c r="F188" s="106"/>
      <c r="G188" s="112"/>
      <c r="H188" s="104"/>
      <c r="I188" s="107"/>
      <c r="J188" s="104"/>
      <c r="K188" s="107"/>
      <c r="L188" s="107"/>
      <c r="M188" s="103"/>
      <c r="N188" s="109"/>
      <c r="O188" s="110"/>
      <c r="P188" s="110"/>
      <c r="Q188" s="110"/>
      <c r="R188" s="154"/>
      <c r="S188" s="119"/>
      <c r="T188" s="120"/>
      <c r="U188" s="114"/>
      <c r="V188" s="113"/>
      <c r="W188" s="121"/>
    </row>
    <row r="189" spans="1:23">
      <c r="A189" s="105"/>
      <c r="B189" s="141"/>
      <c r="C189" s="104"/>
      <c r="D189" s="105"/>
      <c r="E189" s="103"/>
      <c r="F189" s="106"/>
      <c r="G189" s="112"/>
      <c r="H189" s="104"/>
      <c r="I189" s="107"/>
      <c r="J189" s="104"/>
      <c r="K189" s="107"/>
      <c r="L189" s="107"/>
      <c r="M189" s="103"/>
      <c r="N189" s="109"/>
      <c r="O189" s="110"/>
      <c r="P189" s="110"/>
      <c r="Q189" s="110"/>
      <c r="R189" s="154"/>
      <c r="S189" s="119"/>
      <c r="T189" s="120"/>
      <c r="U189" s="114"/>
      <c r="V189" s="113"/>
      <c r="W189" s="121"/>
    </row>
    <row r="190" spans="1:23">
      <c r="A190" s="105"/>
      <c r="B190" s="141"/>
      <c r="C190" s="104"/>
      <c r="D190" s="105"/>
      <c r="E190" s="103"/>
      <c r="F190" s="106"/>
      <c r="G190" s="112"/>
      <c r="H190" s="104"/>
      <c r="I190" s="107"/>
      <c r="J190" s="104"/>
      <c r="K190" s="107"/>
      <c r="L190" s="107"/>
      <c r="M190" s="103"/>
      <c r="N190" s="109"/>
      <c r="O190" s="110"/>
      <c r="P190" s="110"/>
      <c r="Q190" s="110"/>
      <c r="R190" s="154"/>
      <c r="S190" s="119"/>
      <c r="T190" s="120"/>
      <c r="U190" s="114"/>
      <c r="V190" s="113"/>
      <c r="W190" s="121"/>
    </row>
    <row r="191" spans="1:23">
      <c r="A191" s="105"/>
      <c r="B191" s="141"/>
      <c r="C191" s="104"/>
      <c r="D191" s="105"/>
      <c r="E191" s="103"/>
      <c r="F191" s="106"/>
      <c r="G191" s="112"/>
      <c r="H191" s="104"/>
      <c r="I191" s="107"/>
      <c r="J191" s="104"/>
      <c r="K191" s="107"/>
      <c r="L191" s="107"/>
      <c r="M191" s="103"/>
      <c r="N191" s="109"/>
      <c r="O191" s="110"/>
      <c r="P191" s="110"/>
      <c r="Q191" s="110"/>
      <c r="R191" s="154"/>
      <c r="S191" s="119"/>
      <c r="T191" s="120"/>
      <c r="U191" s="114"/>
      <c r="V191" s="113"/>
      <c r="W191" s="121"/>
    </row>
    <row r="192" spans="1:23">
      <c r="A192" s="105"/>
      <c r="B192" s="141"/>
      <c r="C192" s="104"/>
      <c r="D192" s="105"/>
      <c r="E192" s="103"/>
      <c r="F192" s="106"/>
      <c r="G192" s="112"/>
      <c r="H192" s="104"/>
      <c r="I192" s="107"/>
      <c r="J192" s="104"/>
      <c r="K192" s="107"/>
      <c r="L192" s="107"/>
      <c r="M192" s="103"/>
      <c r="N192" s="109"/>
      <c r="O192" s="110"/>
      <c r="P192" s="110"/>
      <c r="Q192" s="110"/>
      <c r="R192" s="154"/>
      <c r="S192" s="119"/>
      <c r="T192" s="120"/>
      <c r="U192" s="114"/>
      <c r="V192" s="113"/>
      <c r="W192" s="121"/>
    </row>
    <row r="193" spans="1:23">
      <c r="A193" s="105"/>
      <c r="B193" s="141"/>
      <c r="C193" s="104"/>
      <c r="D193" s="105"/>
      <c r="E193" s="103"/>
      <c r="F193" s="106"/>
      <c r="G193" s="112"/>
      <c r="H193" s="104"/>
      <c r="I193" s="107"/>
      <c r="J193" s="104"/>
      <c r="K193" s="107"/>
      <c r="L193" s="107"/>
      <c r="M193" s="103"/>
      <c r="N193" s="109"/>
      <c r="O193" s="110"/>
      <c r="P193" s="110"/>
      <c r="Q193" s="110"/>
      <c r="R193" s="154"/>
      <c r="S193" s="119"/>
      <c r="T193" s="120"/>
      <c r="U193" s="114"/>
      <c r="V193" s="113"/>
      <c r="W193" s="121"/>
    </row>
    <row r="194" spans="1:23">
      <c r="A194" s="105"/>
      <c r="B194" s="141"/>
      <c r="C194" s="104"/>
      <c r="D194" s="105"/>
      <c r="E194" s="103"/>
      <c r="F194" s="106"/>
      <c r="G194" s="112"/>
      <c r="H194" s="104"/>
      <c r="I194" s="107"/>
      <c r="J194" s="104"/>
      <c r="K194" s="107"/>
      <c r="L194" s="107"/>
      <c r="M194" s="103"/>
      <c r="N194" s="109"/>
      <c r="O194" s="110"/>
      <c r="P194" s="110"/>
      <c r="Q194" s="110"/>
      <c r="R194" s="154"/>
      <c r="S194" s="119"/>
      <c r="T194" s="120"/>
      <c r="U194" s="114"/>
      <c r="V194" s="113"/>
      <c r="W194" s="121"/>
    </row>
    <row r="195" spans="1:23">
      <c r="A195" s="105"/>
      <c r="B195" s="141"/>
      <c r="C195" s="104"/>
      <c r="D195" s="105"/>
      <c r="E195" s="103"/>
      <c r="F195" s="106"/>
      <c r="G195" s="112"/>
      <c r="H195" s="104"/>
      <c r="I195" s="107"/>
      <c r="J195" s="104"/>
      <c r="K195" s="107"/>
      <c r="L195" s="107"/>
      <c r="M195" s="103"/>
      <c r="N195" s="109"/>
      <c r="O195" s="110"/>
      <c r="P195" s="110"/>
      <c r="Q195" s="110"/>
      <c r="R195" s="154"/>
      <c r="S195" s="119"/>
      <c r="T195" s="120"/>
      <c r="U195" s="114"/>
      <c r="V195" s="113"/>
      <c r="W195" s="121"/>
    </row>
    <row r="196" spans="1:23">
      <c r="A196" s="105"/>
      <c r="B196" s="141"/>
      <c r="C196" s="104"/>
      <c r="D196" s="105"/>
      <c r="E196" s="103"/>
      <c r="F196" s="106"/>
      <c r="G196" s="112"/>
      <c r="H196" s="104"/>
      <c r="I196" s="107"/>
      <c r="J196" s="104"/>
      <c r="K196" s="107"/>
      <c r="L196" s="107"/>
      <c r="M196" s="103"/>
      <c r="N196" s="109"/>
      <c r="O196" s="110"/>
      <c r="P196" s="110"/>
      <c r="Q196" s="110"/>
      <c r="R196" s="154"/>
      <c r="S196" s="119"/>
      <c r="T196" s="120"/>
      <c r="U196" s="114"/>
      <c r="V196" s="113"/>
      <c r="W196" s="121"/>
    </row>
    <row r="197" spans="1:23">
      <c r="A197" s="105"/>
      <c r="B197" s="141"/>
      <c r="C197" s="104"/>
      <c r="D197" s="105"/>
      <c r="E197" s="103"/>
      <c r="F197" s="106"/>
      <c r="G197" s="112"/>
      <c r="H197" s="104"/>
      <c r="I197" s="107"/>
      <c r="J197" s="104"/>
      <c r="K197" s="107"/>
      <c r="L197" s="107"/>
      <c r="M197" s="103"/>
      <c r="N197" s="109"/>
      <c r="O197" s="110"/>
      <c r="P197" s="110"/>
      <c r="Q197" s="110"/>
      <c r="R197" s="154"/>
      <c r="S197" s="119"/>
      <c r="T197" s="120"/>
      <c r="U197" s="114"/>
      <c r="V197" s="113"/>
      <c r="W197" s="121"/>
    </row>
    <row r="198" spans="1:23">
      <c r="A198" s="105"/>
      <c r="B198" s="141"/>
      <c r="C198" s="104"/>
      <c r="D198" s="105"/>
      <c r="E198" s="103"/>
      <c r="F198" s="106"/>
      <c r="G198" s="112"/>
      <c r="H198" s="104"/>
      <c r="I198" s="107"/>
      <c r="J198" s="104"/>
      <c r="K198" s="107"/>
      <c r="L198" s="107"/>
      <c r="M198" s="103"/>
      <c r="N198" s="109"/>
      <c r="O198" s="110"/>
      <c r="P198" s="110"/>
      <c r="Q198" s="110"/>
      <c r="R198" s="154"/>
      <c r="S198" s="119"/>
      <c r="T198" s="120"/>
      <c r="U198" s="114"/>
      <c r="V198" s="113"/>
      <c r="W198" s="121"/>
    </row>
    <row r="199" spans="1:23">
      <c r="A199" s="105"/>
      <c r="B199" s="141"/>
      <c r="C199" s="104"/>
      <c r="D199" s="105"/>
      <c r="E199" s="103"/>
      <c r="F199" s="106"/>
      <c r="G199" s="112"/>
      <c r="H199" s="104"/>
      <c r="I199" s="107"/>
      <c r="J199" s="104"/>
      <c r="K199" s="107"/>
      <c r="L199" s="107"/>
      <c r="M199" s="103"/>
      <c r="N199" s="109"/>
      <c r="O199" s="110"/>
      <c r="P199" s="110"/>
      <c r="Q199" s="110"/>
      <c r="R199" s="154"/>
      <c r="S199" s="119"/>
      <c r="T199" s="120"/>
      <c r="U199" s="114"/>
      <c r="V199" s="113"/>
      <c r="W199" s="121"/>
    </row>
    <row r="200" spans="1:23">
      <c r="A200" s="105"/>
      <c r="B200" s="141"/>
      <c r="C200" s="104"/>
      <c r="D200" s="105"/>
      <c r="E200" s="103"/>
      <c r="F200" s="106"/>
      <c r="G200" s="112"/>
      <c r="H200" s="104"/>
      <c r="I200" s="107"/>
      <c r="J200" s="104"/>
      <c r="K200" s="107"/>
      <c r="L200" s="107"/>
      <c r="M200" s="103"/>
      <c r="N200" s="109"/>
      <c r="O200" s="110"/>
      <c r="P200" s="110"/>
      <c r="Q200" s="110"/>
      <c r="R200" s="154"/>
      <c r="S200" s="119"/>
      <c r="T200" s="120"/>
      <c r="U200" s="114"/>
      <c r="V200" s="113"/>
      <c r="W200" s="121"/>
    </row>
    <row r="201" spans="1:23">
      <c r="A201" s="105"/>
      <c r="B201" s="141"/>
      <c r="C201" s="104"/>
      <c r="D201" s="105"/>
      <c r="E201" s="103"/>
      <c r="F201" s="106"/>
      <c r="G201" s="112"/>
      <c r="H201" s="104"/>
      <c r="I201" s="107"/>
      <c r="J201" s="104"/>
      <c r="K201" s="107"/>
      <c r="L201" s="107"/>
      <c r="M201" s="103"/>
      <c r="N201" s="109"/>
      <c r="O201" s="110"/>
      <c r="P201" s="110"/>
      <c r="Q201" s="110"/>
      <c r="R201" s="154"/>
      <c r="S201" s="119"/>
      <c r="T201" s="120"/>
      <c r="U201" s="114"/>
      <c r="V201" s="113"/>
      <c r="W201" s="121"/>
    </row>
    <row r="202" spans="1:23">
      <c r="A202" s="105"/>
      <c r="B202" s="141"/>
      <c r="C202" s="104"/>
      <c r="D202" s="105"/>
      <c r="E202" s="103"/>
      <c r="F202" s="106"/>
      <c r="G202" s="112"/>
      <c r="H202" s="104"/>
      <c r="I202" s="107"/>
      <c r="J202" s="104"/>
      <c r="K202" s="107"/>
      <c r="L202" s="107"/>
      <c r="M202" s="103"/>
      <c r="N202" s="109"/>
      <c r="O202" s="110"/>
      <c r="P202" s="110"/>
      <c r="Q202" s="110"/>
      <c r="R202" s="154"/>
      <c r="S202" s="119"/>
      <c r="T202" s="120"/>
      <c r="U202" s="114"/>
      <c r="V202" s="113"/>
      <c r="W202" s="121"/>
    </row>
    <row r="203" spans="1:23">
      <c r="A203" s="105"/>
      <c r="B203" s="141"/>
      <c r="C203" s="104"/>
      <c r="D203" s="105"/>
      <c r="E203" s="103"/>
      <c r="F203" s="106"/>
      <c r="G203" s="112"/>
      <c r="H203" s="104"/>
      <c r="I203" s="107"/>
      <c r="J203" s="104"/>
      <c r="K203" s="107"/>
      <c r="L203" s="107"/>
      <c r="M203" s="103"/>
      <c r="N203" s="109"/>
      <c r="O203" s="110"/>
      <c r="P203" s="110"/>
      <c r="Q203" s="110"/>
      <c r="R203" s="154"/>
      <c r="S203" s="119"/>
      <c r="T203" s="120"/>
      <c r="U203" s="114"/>
      <c r="V203" s="113"/>
      <c r="W203" s="121"/>
    </row>
    <row r="204" spans="1:23">
      <c r="A204" s="105"/>
      <c r="B204" s="141"/>
      <c r="C204" s="104"/>
      <c r="D204" s="105"/>
      <c r="E204" s="103"/>
      <c r="F204" s="106"/>
      <c r="G204" s="112"/>
      <c r="H204" s="104"/>
      <c r="I204" s="107"/>
      <c r="J204" s="104"/>
      <c r="K204" s="107"/>
      <c r="L204" s="107"/>
      <c r="M204" s="103"/>
      <c r="N204" s="109"/>
      <c r="O204" s="110"/>
      <c r="P204" s="110"/>
      <c r="Q204" s="110"/>
      <c r="R204" s="154"/>
      <c r="S204" s="119"/>
      <c r="T204" s="120"/>
      <c r="U204" s="114"/>
      <c r="V204" s="113"/>
      <c r="W204" s="121"/>
    </row>
    <row r="205" spans="1:23">
      <c r="A205" s="105"/>
      <c r="B205" s="141"/>
      <c r="C205" s="104"/>
      <c r="D205" s="105"/>
      <c r="E205" s="103"/>
      <c r="F205" s="106"/>
      <c r="G205" s="112"/>
      <c r="H205" s="104"/>
      <c r="I205" s="107"/>
      <c r="J205" s="104"/>
      <c r="K205" s="107"/>
      <c r="L205" s="107"/>
      <c r="M205" s="103"/>
      <c r="N205" s="109"/>
      <c r="O205" s="110"/>
      <c r="P205" s="110"/>
      <c r="Q205" s="110"/>
      <c r="R205" s="154"/>
      <c r="S205" s="119"/>
      <c r="T205" s="120"/>
      <c r="U205" s="114"/>
      <c r="V205" s="113"/>
      <c r="W205" s="121"/>
    </row>
    <row r="206" spans="1:23">
      <c r="A206" s="105"/>
      <c r="B206" s="141"/>
      <c r="C206" s="104"/>
      <c r="D206" s="105"/>
      <c r="E206" s="103"/>
      <c r="F206" s="106"/>
      <c r="G206" s="112"/>
      <c r="H206" s="104"/>
      <c r="I206" s="107"/>
      <c r="J206" s="104"/>
      <c r="K206" s="107"/>
      <c r="L206" s="107"/>
      <c r="M206" s="103"/>
      <c r="N206" s="109"/>
      <c r="O206" s="110"/>
      <c r="P206" s="110"/>
      <c r="Q206" s="110"/>
      <c r="R206" s="154"/>
      <c r="S206" s="119"/>
      <c r="T206" s="120"/>
      <c r="U206" s="114"/>
      <c r="V206" s="113"/>
      <c r="W206" s="121"/>
    </row>
    <row r="207" spans="1:23">
      <c r="A207" s="105"/>
      <c r="B207" s="141"/>
      <c r="C207" s="104"/>
      <c r="D207" s="105"/>
      <c r="E207" s="103"/>
      <c r="F207" s="106"/>
      <c r="G207" s="112"/>
      <c r="H207" s="104"/>
      <c r="I207" s="107"/>
      <c r="J207" s="104"/>
      <c r="K207" s="107"/>
      <c r="L207" s="107"/>
      <c r="M207" s="103"/>
      <c r="N207" s="109"/>
      <c r="O207" s="110"/>
      <c r="P207" s="110"/>
      <c r="Q207" s="110"/>
      <c r="R207" s="154"/>
      <c r="S207" s="119"/>
      <c r="T207" s="120"/>
      <c r="U207" s="114"/>
      <c r="V207" s="113"/>
      <c r="W207" s="121"/>
    </row>
    <row r="208" spans="1:23">
      <c r="A208" s="105"/>
      <c r="B208" s="141"/>
      <c r="C208" s="104"/>
      <c r="D208" s="105"/>
      <c r="E208" s="103"/>
      <c r="F208" s="106"/>
      <c r="G208" s="112"/>
      <c r="H208" s="104"/>
      <c r="I208" s="107"/>
      <c r="J208" s="104"/>
      <c r="K208" s="107"/>
      <c r="L208" s="107"/>
      <c r="M208" s="103"/>
      <c r="N208" s="109"/>
      <c r="O208" s="110"/>
      <c r="P208" s="110"/>
      <c r="Q208" s="110"/>
      <c r="R208" s="154"/>
      <c r="S208" s="119"/>
      <c r="T208" s="120"/>
      <c r="U208" s="114"/>
      <c r="V208" s="113"/>
      <c r="W208" s="121"/>
    </row>
    <row r="209" spans="1:23">
      <c r="A209" s="105"/>
      <c r="B209" s="141"/>
      <c r="C209" s="104"/>
      <c r="D209" s="105"/>
      <c r="E209" s="103"/>
      <c r="F209" s="106"/>
      <c r="G209" s="112"/>
      <c r="H209" s="104"/>
      <c r="I209" s="107"/>
      <c r="J209" s="104"/>
      <c r="K209" s="107"/>
      <c r="L209" s="107"/>
      <c r="M209" s="103"/>
      <c r="N209" s="109"/>
      <c r="O209" s="110"/>
      <c r="P209" s="110"/>
      <c r="Q209" s="110"/>
      <c r="R209" s="154"/>
      <c r="S209" s="119"/>
      <c r="T209" s="120"/>
      <c r="U209" s="114"/>
      <c r="V209" s="113"/>
      <c r="W209" s="121"/>
    </row>
    <row r="210" spans="1:23">
      <c r="A210" s="105"/>
      <c r="B210" s="141"/>
      <c r="C210" s="104"/>
      <c r="D210" s="105"/>
      <c r="E210" s="103"/>
      <c r="F210" s="106"/>
      <c r="G210" s="112"/>
      <c r="H210" s="104"/>
      <c r="I210" s="107"/>
      <c r="J210" s="104"/>
      <c r="K210" s="107"/>
      <c r="L210" s="107"/>
      <c r="M210" s="103"/>
      <c r="N210" s="109"/>
      <c r="O210" s="110"/>
      <c r="P210" s="110"/>
      <c r="Q210" s="110"/>
      <c r="R210" s="154"/>
      <c r="S210" s="119"/>
      <c r="T210" s="120"/>
      <c r="U210" s="114"/>
      <c r="V210" s="113"/>
      <c r="W210" s="121"/>
    </row>
    <row r="211" spans="1:23">
      <c r="A211" s="105"/>
      <c r="B211" s="141"/>
      <c r="C211" s="104"/>
      <c r="D211" s="105"/>
      <c r="E211" s="103"/>
      <c r="F211" s="106"/>
      <c r="G211" s="112"/>
      <c r="H211" s="104"/>
      <c r="I211" s="107"/>
      <c r="J211" s="104"/>
      <c r="K211" s="107"/>
      <c r="L211" s="107"/>
      <c r="M211" s="103"/>
      <c r="N211" s="109"/>
      <c r="O211" s="110"/>
      <c r="P211" s="110"/>
      <c r="Q211" s="110"/>
      <c r="R211" s="154"/>
      <c r="S211" s="119"/>
      <c r="T211" s="120"/>
      <c r="U211" s="114"/>
      <c r="V211" s="113"/>
      <c r="W211" s="121"/>
    </row>
    <row r="212" spans="1:23">
      <c r="A212" s="105"/>
      <c r="B212" s="141"/>
      <c r="C212" s="104"/>
      <c r="D212" s="105"/>
      <c r="E212" s="103"/>
      <c r="F212" s="106"/>
      <c r="G212" s="112"/>
      <c r="H212" s="104"/>
      <c r="I212" s="107"/>
      <c r="J212" s="104"/>
      <c r="K212" s="107"/>
      <c r="L212" s="107"/>
      <c r="M212" s="103"/>
      <c r="N212" s="109"/>
      <c r="O212" s="110"/>
      <c r="P212" s="110"/>
      <c r="Q212" s="110"/>
      <c r="R212" s="154"/>
      <c r="S212" s="119"/>
      <c r="T212" s="120"/>
      <c r="U212" s="114"/>
      <c r="V212" s="113"/>
      <c r="W212" s="121"/>
    </row>
    <row r="213" spans="1:23">
      <c r="A213" s="105"/>
      <c r="B213" s="141"/>
      <c r="C213" s="104"/>
      <c r="D213" s="105"/>
      <c r="E213" s="103"/>
      <c r="F213" s="106"/>
      <c r="G213" s="112"/>
      <c r="H213" s="104"/>
      <c r="I213" s="107"/>
      <c r="J213" s="104"/>
      <c r="K213" s="107"/>
      <c r="L213" s="107"/>
      <c r="M213" s="103"/>
      <c r="N213" s="109"/>
      <c r="O213" s="110"/>
      <c r="P213" s="110"/>
      <c r="Q213" s="110"/>
      <c r="R213" s="154"/>
      <c r="S213" s="119"/>
      <c r="T213" s="120"/>
      <c r="U213" s="114"/>
      <c r="V213" s="113"/>
      <c r="W213" s="121"/>
    </row>
    <row r="214" spans="1:23">
      <c r="A214" s="105"/>
      <c r="B214" s="141"/>
      <c r="C214" s="104"/>
      <c r="D214" s="105"/>
      <c r="E214" s="103"/>
      <c r="F214" s="106"/>
      <c r="G214" s="112"/>
      <c r="H214" s="104"/>
      <c r="I214" s="107"/>
      <c r="J214" s="104"/>
      <c r="K214" s="107"/>
      <c r="L214" s="107"/>
      <c r="M214" s="103"/>
      <c r="N214" s="109"/>
      <c r="O214" s="110"/>
      <c r="P214" s="110"/>
      <c r="Q214" s="110"/>
      <c r="R214" s="154"/>
      <c r="S214" s="119"/>
      <c r="T214" s="120"/>
      <c r="U214" s="114"/>
      <c r="V214" s="113"/>
      <c r="W214" s="121"/>
    </row>
    <row r="215" spans="1:23">
      <c r="A215" s="105"/>
      <c r="B215" s="141"/>
      <c r="C215" s="104"/>
      <c r="D215" s="105"/>
      <c r="E215" s="103"/>
      <c r="F215" s="106"/>
      <c r="G215" s="112"/>
      <c r="H215" s="104"/>
      <c r="I215" s="107"/>
      <c r="J215" s="104"/>
      <c r="K215" s="107"/>
      <c r="L215" s="107"/>
      <c r="M215" s="103"/>
      <c r="N215" s="109"/>
      <c r="O215" s="110"/>
      <c r="P215" s="110"/>
      <c r="Q215" s="110"/>
      <c r="R215" s="154"/>
      <c r="S215" s="119"/>
      <c r="T215" s="120"/>
      <c r="U215" s="114"/>
      <c r="V215" s="113"/>
      <c r="W215" s="121"/>
    </row>
    <row r="216" spans="1:23">
      <c r="A216" s="105"/>
      <c r="B216" s="141"/>
      <c r="C216" s="104"/>
      <c r="D216" s="105"/>
      <c r="E216" s="103"/>
      <c r="F216" s="106"/>
      <c r="G216" s="112"/>
      <c r="H216" s="104"/>
      <c r="I216" s="107"/>
      <c r="J216" s="104"/>
      <c r="K216" s="107"/>
      <c r="L216" s="107"/>
      <c r="M216" s="103"/>
      <c r="N216" s="109"/>
      <c r="O216" s="110"/>
      <c r="P216" s="110"/>
      <c r="Q216" s="110"/>
      <c r="R216" s="154"/>
      <c r="S216" s="119"/>
      <c r="T216" s="120"/>
      <c r="U216" s="114"/>
      <c r="V216" s="113"/>
      <c r="W216" s="121"/>
    </row>
    <row r="217" spans="1:23">
      <c r="A217" s="105"/>
      <c r="B217" s="141"/>
      <c r="C217" s="104"/>
      <c r="D217" s="105"/>
      <c r="E217" s="103"/>
      <c r="F217" s="106"/>
      <c r="G217" s="112"/>
      <c r="H217" s="104"/>
      <c r="I217" s="107"/>
      <c r="J217" s="104"/>
      <c r="K217" s="107"/>
      <c r="L217" s="107"/>
      <c r="M217" s="103"/>
      <c r="N217" s="109"/>
      <c r="O217" s="110"/>
      <c r="P217" s="110"/>
      <c r="Q217" s="110"/>
      <c r="R217" s="154"/>
      <c r="S217" s="119"/>
      <c r="T217" s="120"/>
      <c r="U217" s="114"/>
      <c r="V217" s="113"/>
      <c r="W217" s="121"/>
    </row>
    <row r="218" spans="1:23">
      <c r="A218" s="105"/>
      <c r="B218" s="141"/>
      <c r="C218" s="104"/>
      <c r="D218" s="105"/>
      <c r="E218" s="103"/>
      <c r="F218" s="106"/>
      <c r="G218" s="112"/>
      <c r="H218" s="104"/>
      <c r="I218" s="107"/>
      <c r="J218" s="104"/>
      <c r="K218" s="107"/>
      <c r="L218" s="107"/>
      <c r="M218" s="103"/>
      <c r="N218" s="109"/>
      <c r="O218" s="110"/>
      <c r="P218" s="110"/>
      <c r="Q218" s="110"/>
      <c r="R218" s="154"/>
      <c r="S218" s="119"/>
      <c r="T218" s="120"/>
      <c r="U218" s="114"/>
      <c r="V218" s="113"/>
      <c r="W218" s="121"/>
    </row>
    <row r="219" spans="1:23">
      <c r="A219" s="105"/>
      <c r="B219" s="141"/>
      <c r="C219" s="104"/>
      <c r="D219" s="105"/>
      <c r="E219" s="103"/>
      <c r="F219" s="106"/>
      <c r="G219" s="112"/>
      <c r="H219" s="104"/>
      <c r="I219" s="107"/>
      <c r="J219" s="104"/>
      <c r="K219" s="107"/>
      <c r="L219" s="107"/>
      <c r="M219" s="103"/>
      <c r="N219" s="109"/>
      <c r="O219" s="110"/>
      <c r="P219" s="110"/>
      <c r="Q219" s="110"/>
      <c r="R219" s="154"/>
      <c r="S219" s="119"/>
      <c r="T219" s="120"/>
      <c r="U219" s="114"/>
      <c r="V219" s="113"/>
      <c r="W219" s="121"/>
    </row>
    <row r="220" spans="1:23">
      <c r="A220" s="105"/>
      <c r="B220" s="141"/>
      <c r="C220" s="104"/>
      <c r="D220" s="105"/>
      <c r="E220" s="103"/>
      <c r="F220" s="106"/>
      <c r="G220" s="112"/>
      <c r="H220" s="104"/>
      <c r="I220" s="107"/>
      <c r="J220" s="104"/>
      <c r="K220" s="107"/>
      <c r="L220" s="107"/>
      <c r="M220" s="103"/>
      <c r="N220" s="109"/>
      <c r="O220" s="110"/>
      <c r="P220" s="110"/>
      <c r="Q220" s="110"/>
      <c r="R220" s="154"/>
      <c r="S220" s="119"/>
      <c r="T220" s="120"/>
      <c r="U220" s="114"/>
      <c r="V220" s="113"/>
      <c r="W220" s="121"/>
    </row>
    <row r="221" spans="1:23">
      <c r="A221" s="105"/>
      <c r="B221" s="141"/>
      <c r="C221" s="104"/>
      <c r="D221" s="105"/>
      <c r="E221" s="103"/>
      <c r="F221" s="106"/>
      <c r="G221" s="112"/>
      <c r="H221" s="104"/>
      <c r="I221" s="107"/>
      <c r="J221" s="104"/>
      <c r="K221" s="107"/>
      <c r="L221" s="107"/>
      <c r="M221" s="103"/>
      <c r="N221" s="109"/>
      <c r="O221" s="110"/>
      <c r="P221" s="110"/>
      <c r="Q221" s="110"/>
      <c r="R221" s="154"/>
      <c r="S221" s="119"/>
      <c r="T221" s="120"/>
      <c r="U221" s="114"/>
      <c r="V221" s="113"/>
      <c r="W221" s="121"/>
    </row>
    <row r="222" spans="1:23">
      <c r="A222" s="105"/>
      <c r="B222" s="141"/>
      <c r="C222" s="104"/>
      <c r="D222" s="105"/>
      <c r="E222" s="103"/>
      <c r="F222" s="106"/>
      <c r="G222" s="112"/>
      <c r="H222" s="104"/>
      <c r="I222" s="107"/>
      <c r="J222" s="104"/>
      <c r="K222" s="107"/>
      <c r="L222" s="107"/>
      <c r="M222" s="103"/>
      <c r="N222" s="109"/>
      <c r="O222" s="110"/>
      <c r="P222" s="110"/>
      <c r="Q222" s="110"/>
      <c r="R222" s="154"/>
      <c r="S222" s="119"/>
      <c r="T222" s="120"/>
      <c r="U222" s="114"/>
      <c r="V222" s="113"/>
      <c r="W222" s="121"/>
    </row>
    <row r="223" spans="1:23">
      <c r="A223" s="105"/>
      <c r="B223" s="141"/>
      <c r="C223" s="104"/>
      <c r="D223" s="105"/>
      <c r="E223" s="103"/>
      <c r="F223" s="106"/>
      <c r="G223" s="112"/>
      <c r="H223" s="104"/>
      <c r="I223" s="107"/>
      <c r="J223" s="104"/>
      <c r="K223" s="107"/>
      <c r="L223" s="107"/>
      <c r="M223" s="103"/>
      <c r="N223" s="109"/>
      <c r="O223" s="110"/>
      <c r="P223" s="110"/>
      <c r="Q223" s="110"/>
      <c r="R223" s="154"/>
      <c r="S223" s="119"/>
      <c r="T223" s="120"/>
      <c r="U223" s="114"/>
      <c r="V223" s="113"/>
      <c r="W223" s="121"/>
    </row>
    <row r="224" spans="1:23">
      <c r="A224" s="105"/>
      <c r="B224" s="141"/>
      <c r="C224" s="104"/>
      <c r="D224" s="105"/>
      <c r="E224" s="103"/>
      <c r="F224" s="106"/>
      <c r="G224" s="112"/>
      <c r="H224" s="104"/>
      <c r="I224" s="107"/>
      <c r="J224" s="104"/>
      <c r="K224" s="107"/>
      <c r="L224" s="107"/>
      <c r="M224" s="103"/>
      <c r="N224" s="109"/>
      <c r="O224" s="110"/>
      <c r="P224" s="110"/>
      <c r="Q224" s="110"/>
      <c r="R224" s="154"/>
      <c r="S224" s="119"/>
      <c r="T224" s="120"/>
      <c r="U224" s="114"/>
      <c r="V224" s="113"/>
      <c r="W224" s="121"/>
    </row>
    <row r="225" spans="1:23">
      <c r="A225" s="105"/>
      <c r="B225" s="141"/>
      <c r="C225" s="104"/>
      <c r="D225" s="105"/>
      <c r="E225" s="103"/>
      <c r="F225" s="106"/>
      <c r="G225" s="112"/>
      <c r="H225" s="104"/>
      <c r="I225" s="107"/>
      <c r="J225" s="104"/>
      <c r="K225" s="107"/>
      <c r="L225" s="107"/>
      <c r="M225" s="103"/>
      <c r="N225" s="109"/>
      <c r="O225" s="110"/>
      <c r="P225" s="110"/>
      <c r="Q225" s="110"/>
      <c r="R225" s="154"/>
      <c r="S225" s="119"/>
      <c r="T225" s="120"/>
      <c r="U225" s="114"/>
      <c r="V225" s="113"/>
      <c r="W225" s="121"/>
    </row>
    <row r="226" spans="1:23">
      <c r="A226" s="105"/>
      <c r="B226" s="141"/>
      <c r="C226" s="104"/>
      <c r="D226" s="105"/>
      <c r="E226" s="103"/>
      <c r="F226" s="106"/>
      <c r="G226" s="112"/>
      <c r="H226" s="104"/>
      <c r="I226" s="107"/>
      <c r="J226" s="104"/>
      <c r="K226" s="107"/>
      <c r="L226" s="107"/>
      <c r="M226" s="103"/>
      <c r="N226" s="109"/>
      <c r="O226" s="110"/>
      <c r="P226" s="110"/>
      <c r="Q226" s="110"/>
      <c r="R226" s="154"/>
      <c r="S226" s="119"/>
      <c r="T226" s="120"/>
      <c r="U226" s="114"/>
      <c r="V226" s="113"/>
      <c r="W226" s="121"/>
    </row>
    <row r="227" spans="1:23">
      <c r="A227" s="105"/>
      <c r="B227" s="141"/>
      <c r="C227" s="104"/>
      <c r="D227" s="105"/>
      <c r="E227" s="103"/>
      <c r="F227" s="106"/>
      <c r="G227" s="112"/>
      <c r="H227" s="104"/>
      <c r="I227" s="107"/>
      <c r="J227" s="104"/>
      <c r="K227" s="107"/>
      <c r="L227" s="107"/>
      <c r="M227" s="103"/>
      <c r="N227" s="109"/>
      <c r="O227" s="110"/>
      <c r="P227" s="110"/>
      <c r="Q227" s="110"/>
      <c r="R227" s="154"/>
      <c r="S227" s="119"/>
      <c r="T227" s="120"/>
      <c r="U227" s="114"/>
      <c r="V227" s="113"/>
      <c r="W227" s="121"/>
    </row>
    <row r="228" spans="1:23">
      <c r="A228" s="105"/>
      <c r="B228" s="141"/>
      <c r="C228" s="104"/>
      <c r="D228" s="105"/>
      <c r="E228" s="103"/>
      <c r="F228" s="106"/>
      <c r="G228" s="112"/>
      <c r="H228" s="104"/>
      <c r="I228" s="107"/>
      <c r="J228" s="104"/>
      <c r="K228" s="107"/>
      <c r="L228" s="107"/>
      <c r="M228" s="103"/>
      <c r="N228" s="109"/>
      <c r="O228" s="110"/>
      <c r="P228" s="110"/>
      <c r="Q228" s="110"/>
      <c r="R228" s="154"/>
      <c r="S228" s="119"/>
      <c r="T228" s="120"/>
      <c r="U228" s="114"/>
      <c r="V228" s="113"/>
      <c r="W228" s="121"/>
    </row>
    <row r="229" spans="1:23">
      <c r="A229" s="105"/>
      <c r="B229" s="141"/>
      <c r="C229" s="104"/>
      <c r="D229" s="105"/>
      <c r="E229" s="103"/>
      <c r="F229" s="106"/>
      <c r="G229" s="112"/>
      <c r="H229" s="104"/>
      <c r="I229" s="107"/>
      <c r="J229" s="104"/>
      <c r="K229" s="107"/>
      <c r="L229" s="107"/>
      <c r="M229" s="103"/>
      <c r="N229" s="109"/>
      <c r="O229" s="110"/>
      <c r="P229" s="110"/>
      <c r="Q229" s="110"/>
      <c r="R229" s="154"/>
      <c r="S229" s="119"/>
      <c r="T229" s="120"/>
      <c r="U229" s="114"/>
      <c r="V229" s="113"/>
      <c r="W229" s="121"/>
    </row>
    <row r="230" spans="1:23">
      <c r="A230" s="105"/>
      <c r="B230" s="141"/>
      <c r="C230" s="104"/>
      <c r="D230" s="105"/>
      <c r="E230" s="103"/>
      <c r="F230" s="106"/>
      <c r="G230" s="112"/>
      <c r="H230" s="104"/>
      <c r="I230" s="107"/>
      <c r="J230" s="104"/>
      <c r="K230" s="107"/>
      <c r="L230" s="107"/>
      <c r="M230" s="103"/>
      <c r="N230" s="109"/>
      <c r="O230" s="110"/>
      <c r="P230" s="110"/>
      <c r="Q230" s="110"/>
      <c r="R230" s="154"/>
      <c r="S230" s="119"/>
      <c r="T230" s="120"/>
      <c r="U230" s="114"/>
      <c r="V230" s="113"/>
      <c r="W230" s="121"/>
    </row>
    <row r="231" spans="1:23">
      <c r="A231" s="105"/>
      <c r="B231" s="141"/>
      <c r="C231" s="104"/>
      <c r="D231" s="105"/>
      <c r="E231" s="103"/>
      <c r="F231" s="106"/>
      <c r="G231" s="112"/>
      <c r="H231" s="104"/>
      <c r="I231" s="107"/>
      <c r="J231" s="104"/>
      <c r="K231" s="107"/>
      <c r="L231" s="107"/>
      <c r="M231" s="103"/>
      <c r="N231" s="109"/>
      <c r="O231" s="110"/>
      <c r="P231" s="110"/>
      <c r="Q231" s="110"/>
      <c r="R231" s="154"/>
      <c r="S231" s="119"/>
      <c r="T231" s="120"/>
      <c r="U231" s="114"/>
      <c r="V231" s="113"/>
      <c r="W231" s="121"/>
    </row>
    <row r="232" spans="1:23">
      <c r="A232" s="105"/>
      <c r="B232" s="141"/>
      <c r="C232" s="104"/>
      <c r="D232" s="105"/>
      <c r="E232" s="103"/>
      <c r="F232" s="106"/>
      <c r="G232" s="112"/>
      <c r="H232" s="104"/>
      <c r="I232" s="107"/>
      <c r="J232" s="104"/>
      <c r="K232" s="107"/>
      <c r="L232" s="107"/>
      <c r="M232" s="103"/>
      <c r="N232" s="109"/>
      <c r="O232" s="110"/>
      <c r="P232" s="110"/>
      <c r="Q232" s="110"/>
      <c r="R232" s="154"/>
      <c r="S232" s="119"/>
      <c r="T232" s="120"/>
      <c r="U232" s="114"/>
      <c r="V232" s="113"/>
      <c r="W232" s="121"/>
    </row>
    <row r="233" spans="1:23">
      <c r="A233" s="105"/>
      <c r="B233" s="141"/>
      <c r="C233" s="104"/>
      <c r="D233" s="105"/>
      <c r="E233" s="103"/>
      <c r="F233" s="106"/>
      <c r="G233" s="112"/>
      <c r="H233" s="104"/>
      <c r="I233" s="107"/>
      <c r="J233" s="104"/>
      <c r="K233" s="107"/>
      <c r="L233" s="107"/>
      <c r="M233" s="103"/>
      <c r="N233" s="109"/>
      <c r="O233" s="110"/>
      <c r="P233" s="110"/>
      <c r="Q233" s="110"/>
      <c r="R233" s="154"/>
      <c r="S233" s="119"/>
      <c r="T233" s="120"/>
      <c r="U233" s="114"/>
      <c r="V233" s="113"/>
      <c r="W233" s="121"/>
    </row>
    <row r="234" spans="1:23">
      <c r="A234" s="105"/>
      <c r="B234" s="141"/>
      <c r="C234" s="104"/>
      <c r="D234" s="105"/>
      <c r="E234" s="103"/>
      <c r="F234" s="106"/>
      <c r="G234" s="112"/>
      <c r="H234" s="104"/>
      <c r="I234" s="107"/>
      <c r="J234" s="104"/>
      <c r="K234" s="107"/>
      <c r="L234" s="107"/>
      <c r="M234" s="103"/>
      <c r="N234" s="109"/>
      <c r="O234" s="110"/>
      <c r="P234" s="110"/>
      <c r="Q234" s="110"/>
      <c r="R234" s="154"/>
      <c r="S234" s="119"/>
      <c r="T234" s="120"/>
      <c r="U234" s="114"/>
      <c r="V234" s="113"/>
      <c r="W234" s="121"/>
    </row>
    <row r="235" spans="1:23">
      <c r="A235" s="105"/>
      <c r="B235" s="141"/>
      <c r="C235" s="104"/>
      <c r="D235" s="105"/>
      <c r="E235" s="103"/>
      <c r="F235" s="106"/>
      <c r="G235" s="112"/>
      <c r="H235" s="104"/>
      <c r="I235" s="107"/>
      <c r="J235" s="104"/>
      <c r="K235" s="107"/>
      <c r="L235" s="107"/>
      <c r="M235" s="103"/>
      <c r="N235" s="109"/>
      <c r="O235" s="110"/>
      <c r="P235" s="110"/>
      <c r="Q235" s="110"/>
      <c r="R235" s="154"/>
      <c r="S235" s="119"/>
      <c r="T235" s="120"/>
      <c r="U235" s="114"/>
      <c r="V235" s="113"/>
      <c r="W235" s="121"/>
    </row>
    <row r="236" spans="1:23">
      <c r="A236" s="105"/>
      <c r="B236" s="141"/>
      <c r="C236" s="104"/>
      <c r="D236" s="105"/>
      <c r="E236" s="103"/>
      <c r="F236" s="106"/>
      <c r="G236" s="112"/>
      <c r="H236" s="104"/>
      <c r="I236" s="107"/>
      <c r="J236" s="104"/>
      <c r="K236" s="107"/>
      <c r="L236" s="107"/>
      <c r="M236" s="103"/>
      <c r="N236" s="109"/>
      <c r="O236" s="110"/>
      <c r="P236" s="110"/>
      <c r="Q236" s="110"/>
      <c r="R236" s="154"/>
      <c r="S236" s="119"/>
      <c r="T236" s="120"/>
      <c r="U236" s="114"/>
      <c r="V236" s="113"/>
      <c r="W236" s="121"/>
    </row>
    <row r="237" spans="1:23">
      <c r="A237" s="105"/>
      <c r="B237" s="141"/>
      <c r="C237" s="104"/>
      <c r="D237" s="105"/>
      <c r="E237" s="103"/>
      <c r="F237" s="106"/>
      <c r="G237" s="112"/>
      <c r="H237" s="104"/>
      <c r="I237" s="107"/>
      <c r="J237" s="104"/>
      <c r="K237" s="107"/>
      <c r="L237" s="107"/>
      <c r="M237" s="103"/>
      <c r="N237" s="109"/>
      <c r="O237" s="110"/>
      <c r="P237" s="110"/>
      <c r="Q237" s="110"/>
      <c r="R237" s="154"/>
      <c r="S237" s="119"/>
      <c r="T237" s="120"/>
      <c r="U237" s="114"/>
      <c r="V237" s="113"/>
      <c r="W237" s="121"/>
    </row>
    <row r="238" spans="1:23">
      <c r="A238" s="105"/>
      <c r="B238" s="141"/>
      <c r="C238" s="104"/>
      <c r="D238" s="105"/>
      <c r="E238" s="103"/>
      <c r="F238" s="106"/>
      <c r="G238" s="112"/>
      <c r="H238" s="104"/>
      <c r="I238" s="107"/>
      <c r="J238" s="104"/>
      <c r="K238" s="107"/>
      <c r="L238" s="107"/>
      <c r="M238" s="103"/>
      <c r="N238" s="109"/>
      <c r="O238" s="110"/>
      <c r="P238" s="110"/>
      <c r="Q238" s="110"/>
      <c r="R238" s="154"/>
      <c r="S238" s="119"/>
      <c r="T238" s="120"/>
      <c r="U238" s="114"/>
      <c r="V238" s="113"/>
      <c r="W238" s="121"/>
    </row>
    <row r="239" spans="1:23">
      <c r="A239" s="105"/>
      <c r="B239" s="141"/>
      <c r="C239" s="104"/>
      <c r="D239" s="105"/>
      <c r="E239" s="103"/>
      <c r="F239" s="106"/>
      <c r="G239" s="112"/>
      <c r="H239" s="104"/>
      <c r="I239" s="107"/>
      <c r="J239" s="104"/>
      <c r="K239" s="107"/>
      <c r="L239" s="107"/>
      <c r="M239" s="103"/>
      <c r="N239" s="109"/>
      <c r="O239" s="110"/>
      <c r="P239" s="110"/>
      <c r="Q239" s="110"/>
      <c r="R239" s="154"/>
      <c r="S239" s="119"/>
      <c r="T239" s="120"/>
      <c r="U239" s="114"/>
      <c r="V239" s="113"/>
      <c r="W239" s="121"/>
    </row>
    <row r="240" spans="1:23">
      <c r="A240" s="105"/>
      <c r="B240" s="141"/>
      <c r="C240" s="104"/>
      <c r="D240" s="105"/>
      <c r="E240" s="103"/>
      <c r="F240" s="106"/>
      <c r="G240" s="112"/>
      <c r="H240" s="104"/>
      <c r="I240" s="107"/>
      <c r="J240" s="104"/>
      <c r="K240" s="107"/>
      <c r="L240" s="107"/>
      <c r="M240" s="103"/>
      <c r="N240" s="109"/>
      <c r="O240" s="110"/>
      <c r="P240" s="110"/>
      <c r="Q240" s="110"/>
      <c r="R240" s="154"/>
      <c r="S240" s="119"/>
      <c r="T240" s="120"/>
      <c r="U240" s="114"/>
      <c r="V240" s="113"/>
      <c r="W240" s="121"/>
    </row>
    <row r="241" spans="1:23">
      <c r="A241" s="105"/>
      <c r="B241" s="141"/>
      <c r="C241" s="104"/>
      <c r="D241" s="105"/>
      <c r="E241" s="103"/>
      <c r="F241" s="106"/>
      <c r="G241" s="112"/>
      <c r="H241" s="104"/>
      <c r="I241" s="107"/>
      <c r="J241" s="104"/>
      <c r="K241" s="107"/>
      <c r="L241" s="107"/>
      <c r="M241" s="103"/>
      <c r="N241" s="109"/>
      <c r="O241" s="110"/>
      <c r="P241" s="110"/>
      <c r="Q241" s="110"/>
      <c r="R241" s="154"/>
      <c r="S241" s="119"/>
      <c r="T241" s="120"/>
      <c r="U241" s="114"/>
      <c r="V241" s="113"/>
      <c r="W241" s="121"/>
    </row>
    <row r="242" spans="1:23">
      <c r="A242" s="105"/>
      <c r="B242" s="141"/>
      <c r="C242" s="104"/>
      <c r="D242" s="105"/>
      <c r="E242" s="103"/>
      <c r="F242" s="106"/>
      <c r="G242" s="112"/>
      <c r="H242" s="104"/>
      <c r="I242" s="107"/>
      <c r="J242" s="104"/>
      <c r="K242" s="107"/>
      <c r="L242" s="107"/>
      <c r="M242" s="103"/>
      <c r="N242" s="109"/>
      <c r="O242" s="110"/>
      <c r="P242" s="110"/>
      <c r="Q242" s="110"/>
      <c r="R242" s="154"/>
      <c r="S242" s="119"/>
      <c r="T242" s="120"/>
      <c r="U242" s="114"/>
      <c r="V242" s="113"/>
      <c r="W242" s="121"/>
    </row>
    <row r="243" spans="1:23">
      <c r="A243" s="105"/>
      <c r="B243" s="141"/>
      <c r="C243" s="104"/>
      <c r="D243" s="105"/>
      <c r="E243" s="103"/>
      <c r="F243" s="106"/>
      <c r="G243" s="112"/>
      <c r="H243" s="104"/>
      <c r="I243" s="107"/>
      <c r="J243" s="104"/>
      <c r="K243" s="107"/>
      <c r="L243" s="107"/>
      <c r="M243" s="103"/>
      <c r="N243" s="109"/>
      <c r="O243" s="110"/>
      <c r="P243" s="110"/>
      <c r="Q243" s="110"/>
      <c r="R243" s="154"/>
      <c r="S243" s="119"/>
      <c r="T243" s="120"/>
      <c r="U243" s="114"/>
      <c r="V243" s="113"/>
      <c r="W243" s="121"/>
    </row>
    <row r="244" spans="1:23">
      <c r="A244" s="105"/>
      <c r="B244" s="141"/>
      <c r="C244" s="104"/>
      <c r="D244" s="105"/>
      <c r="E244" s="103"/>
      <c r="F244" s="106"/>
      <c r="G244" s="112"/>
      <c r="H244" s="104"/>
      <c r="I244" s="107"/>
      <c r="J244" s="104"/>
      <c r="K244" s="107"/>
      <c r="L244" s="107"/>
      <c r="M244" s="103"/>
      <c r="N244" s="109"/>
      <c r="O244" s="110"/>
      <c r="P244" s="110"/>
      <c r="Q244" s="110"/>
      <c r="R244" s="154"/>
      <c r="S244" s="119"/>
      <c r="T244" s="120"/>
      <c r="U244" s="114"/>
      <c r="V244" s="113"/>
      <c r="W244" s="121"/>
    </row>
    <row r="245" spans="1:23">
      <c r="A245" s="105"/>
      <c r="B245" s="141"/>
      <c r="C245" s="104"/>
      <c r="D245" s="105"/>
      <c r="E245" s="103"/>
      <c r="F245" s="106"/>
      <c r="G245" s="112"/>
      <c r="H245" s="104"/>
      <c r="I245" s="107"/>
      <c r="J245" s="104"/>
      <c r="K245" s="107"/>
      <c r="L245" s="107"/>
      <c r="M245" s="103"/>
      <c r="N245" s="109"/>
      <c r="O245" s="110"/>
      <c r="P245" s="110"/>
      <c r="Q245" s="110"/>
      <c r="R245" s="154"/>
      <c r="S245" s="119"/>
      <c r="T245" s="120"/>
      <c r="U245" s="114"/>
      <c r="V245" s="113"/>
      <c r="W245" s="121"/>
    </row>
    <row r="246" spans="1:23">
      <c r="A246" s="105"/>
      <c r="B246" s="141"/>
      <c r="C246" s="104"/>
      <c r="D246" s="105"/>
      <c r="E246" s="103"/>
      <c r="F246" s="106"/>
      <c r="G246" s="112"/>
      <c r="H246" s="104"/>
      <c r="I246" s="107"/>
      <c r="J246" s="104"/>
      <c r="K246" s="107"/>
      <c r="L246" s="107"/>
      <c r="M246" s="103"/>
      <c r="N246" s="109"/>
      <c r="O246" s="110"/>
      <c r="P246" s="110"/>
      <c r="Q246" s="110"/>
      <c r="R246" s="154"/>
      <c r="S246" s="119"/>
      <c r="T246" s="120"/>
      <c r="U246" s="114"/>
      <c r="V246" s="113"/>
      <c r="W246" s="121"/>
    </row>
    <row r="247" spans="1:23">
      <c r="A247" s="105"/>
      <c r="B247" s="141"/>
      <c r="C247" s="104"/>
      <c r="D247" s="105"/>
      <c r="E247" s="103"/>
      <c r="F247" s="106"/>
      <c r="G247" s="112"/>
      <c r="H247" s="104"/>
      <c r="I247" s="107"/>
      <c r="J247" s="104"/>
      <c r="K247" s="107"/>
      <c r="L247" s="107"/>
      <c r="M247" s="103"/>
      <c r="N247" s="109"/>
      <c r="O247" s="110"/>
      <c r="P247" s="110"/>
      <c r="Q247" s="110"/>
      <c r="R247" s="154"/>
      <c r="S247" s="119"/>
      <c r="T247" s="120"/>
      <c r="U247" s="114"/>
      <c r="V247" s="113"/>
      <c r="W247" s="121"/>
    </row>
    <row r="248" spans="1:23">
      <c r="A248" s="105"/>
      <c r="B248" s="141"/>
      <c r="C248" s="104"/>
      <c r="D248" s="105"/>
      <c r="E248" s="103"/>
      <c r="F248" s="106"/>
      <c r="G248" s="112"/>
      <c r="H248" s="104"/>
      <c r="I248" s="107"/>
      <c r="J248" s="104"/>
      <c r="K248" s="107"/>
      <c r="L248" s="107"/>
      <c r="M248" s="103"/>
      <c r="N248" s="109"/>
      <c r="O248" s="110"/>
      <c r="P248" s="110"/>
      <c r="Q248" s="110"/>
      <c r="R248" s="154"/>
      <c r="S248" s="119"/>
      <c r="T248" s="120"/>
      <c r="U248" s="114"/>
      <c r="V248" s="113"/>
      <c r="W248" s="121"/>
    </row>
    <row r="249" spans="1:23">
      <c r="A249" s="105"/>
      <c r="B249" s="141"/>
      <c r="C249" s="104"/>
      <c r="D249" s="105"/>
      <c r="E249" s="103"/>
      <c r="F249" s="106"/>
      <c r="G249" s="112"/>
      <c r="H249" s="104"/>
      <c r="I249" s="107"/>
      <c r="J249" s="104"/>
      <c r="K249" s="107"/>
      <c r="L249" s="107"/>
      <c r="M249" s="103"/>
      <c r="N249" s="109"/>
      <c r="O249" s="110"/>
      <c r="P249" s="110"/>
      <c r="Q249" s="110"/>
      <c r="R249" s="154"/>
      <c r="S249" s="119"/>
      <c r="T249" s="120"/>
      <c r="U249" s="114"/>
      <c r="V249" s="113"/>
      <c r="W249" s="121"/>
    </row>
    <row r="250" spans="1:23">
      <c r="A250" s="105"/>
      <c r="B250" s="141"/>
      <c r="C250" s="104"/>
      <c r="D250" s="105"/>
      <c r="E250" s="103"/>
      <c r="F250" s="106"/>
      <c r="G250" s="112"/>
      <c r="H250" s="104"/>
      <c r="I250" s="107"/>
      <c r="J250" s="104"/>
      <c r="K250" s="107"/>
      <c r="L250" s="107"/>
      <c r="M250" s="103"/>
      <c r="N250" s="109"/>
      <c r="O250" s="110"/>
      <c r="P250" s="110"/>
      <c r="Q250" s="110"/>
      <c r="R250" s="154"/>
      <c r="S250" s="119"/>
      <c r="T250" s="120"/>
      <c r="U250" s="114"/>
      <c r="V250" s="113"/>
      <c r="W250" s="121"/>
    </row>
    <row r="251" spans="1:23">
      <c r="A251" s="105"/>
      <c r="B251" s="141"/>
      <c r="C251" s="104"/>
      <c r="D251" s="105"/>
      <c r="E251" s="103"/>
      <c r="F251" s="106"/>
      <c r="G251" s="112"/>
      <c r="H251" s="104"/>
      <c r="I251" s="107"/>
      <c r="J251" s="104"/>
      <c r="K251" s="107"/>
      <c r="L251" s="107"/>
      <c r="M251" s="103"/>
      <c r="N251" s="109"/>
      <c r="O251" s="110"/>
      <c r="P251" s="110"/>
      <c r="Q251" s="110"/>
      <c r="R251" s="154"/>
      <c r="S251" s="119"/>
      <c r="T251" s="120"/>
      <c r="U251" s="114"/>
      <c r="V251" s="113"/>
      <c r="W251" s="121"/>
    </row>
    <row r="252" spans="1:23">
      <c r="A252" s="105"/>
      <c r="B252" s="141"/>
      <c r="C252" s="104"/>
      <c r="D252" s="105"/>
      <c r="E252" s="103"/>
      <c r="F252" s="106"/>
      <c r="G252" s="112"/>
      <c r="H252" s="104"/>
      <c r="I252" s="107"/>
      <c r="J252" s="104"/>
      <c r="K252" s="107"/>
      <c r="L252" s="107"/>
      <c r="M252" s="103"/>
      <c r="N252" s="109"/>
      <c r="O252" s="110"/>
      <c r="P252" s="110"/>
      <c r="Q252" s="110"/>
      <c r="R252" s="154"/>
      <c r="S252" s="119"/>
      <c r="T252" s="120"/>
      <c r="U252" s="114"/>
      <c r="V252" s="113"/>
      <c r="W252" s="121"/>
    </row>
    <row r="253" spans="1:23">
      <c r="A253" s="105"/>
      <c r="B253" s="141"/>
      <c r="C253" s="104"/>
      <c r="D253" s="105"/>
      <c r="E253" s="103"/>
      <c r="F253" s="106"/>
      <c r="G253" s="112"/>
      <c r="H253" s="104"/>
      <c r="I253" s="107"/>
      <c r="J253" s="104"/>
      <c r="K253" s="107"/>
      <c r="L253" s="107"/>
      <c r="M253" s="103"/>
      <c r="N253" s="109"/>
      <c r="O253" s="110"/>
      <c r="P253" s="110"/>
      <c r="Q253" s="110"/>
      <c r="R253" s="154"/>
      <c r="S253" s="119"/>
      <c r="T253" s="120"/>
      <c r="U253" s="114"/>
      <c r="V253" s="113"/>
      <c r="W253" s="121"/>
    </row>
    <row r="254" spans="1:23">
      <c r="A254" s="105"/>
      <c r="B254" s="141"/>
      <c r="C254" s="104"/>
      <c r="D254" s="105"/>
      <c r="E254" s="103"/>
      <c r="F254" s="106"/>
      <c r="G254" s="112"/>
      <c r="H254" s="104"/>
      <c r="I254" s="107"/>
      <c r="J254" s="104"/>
      <c r="K254" s="107"/>
      <c r="L254" s="107"/>
      <c r="M254" s="103"/>
      <c r="N254" s="109"/>
      <c r="O254" s="110"/>
      <c r="P254" s="110"/>
      <c r="Q254" s="110"/>
      <c r="R254" s="154"/>
      <c r="S254" s="119"/>
      <c r="T254" s="120"/>
      <c r="U254" s="114"/>
      <c r="V254" s="113"/>
      <c r="W254" s="121"/>
    </row>
    <row r="255" spans="1:23">
      <c r="A255" s="105"/>
      <c r="B255" s="141"/>
      <c r="C255" s="104"/>
      <c r="D255" s="105"/>
      <c r="E255" s="103"/>
      <c r="F255" s="106"/>
      <c r="G255" s="112"/>
      <c r="H255" s="104"/>
      <c r="I255" s="107"/>
      <c r="J255" s="104"/>
      <c r="K255" s="107"/>
      <c r="L255" s="107"/>
      <c r="M255" s="103"/>
      <c r="N255" s="109"/>
      <c r="O255" s="110"/>
      <c r="P255" s="110"/>
      <c r="Q255" s="110"/>
      <c r="R255" s="154"/>
      <c r="S255" s="119"/>
      <c r="T255" s="120"/>
      <c r="U255" s="114"/>
      <c r="V255" s="113"/>
      <c r="W255" s="121"/>
    </row>
    <row r="256" spans="1:23">
      <c r="A256" s="105"/>
      <c r="B256" s="141"/>
      <c r="C256" s="104"/>
      <c r="D256" s="105"/>
      <c r="E256" s="103"/>
      <c r="F256" s="106"/>
      <c r="G256" s="112"/>
      <c r="H256" s="104"/>
      <c r="I256" s="107"/>
      <c r="J256" s="104"/>
      <c r="K256" s="107"/>
      <c r="L256" s="107"/>
      <c r="M256" s="103"/>
      <c r="N256" s="109"/>
      <c r="O256" s="110"/>
      <c r="P256" s="110"/>
      <c r="Q256" s="110"/>
      <c r="R256" s="154"/>
      <c r="S256" s="119"/>
      <c r="T256" s="120"/>
      <c r="U256" s="114"/>
      <c r="V256" s="113"/>
      <c r="W256" s="121"/>
    </row>
    <row r="257" spans="1:23">
      <c r="A257" s="105"/>
      <c r="B257" s="141"/>
      <c r="C257" s="104"/>
      <c r="D257" s="105"/>
      <c r="E257" s="103"/>
      <c r="F257" s="106"/>
      <c r="G257" s="112"/>
      <c r="H257" s="104"/>
      <c r="I257" s="107"/>
      <c r="J257" s="104"/>
      <c r="K257" s="107"/>
      <c r="L257" s="107"/>
      <c r="M257" s="103"/>
      <c r="N257" s="109"/>
      <c r="O257" s="110"/>
      <c r="P257" s="110"/>
      <c r="Q257" s="110"/>
      <c r="R257" s="154"/>
      <c r="S257" s="119"/>
      <c r="T257" s="120"/>
      <c r="U257" s="114"/>
      <c r="V257" s="113"/>
      <c r="W257" s="121"/>
    </row>
    <row r="258" spans="1:23">
      <c r="A258" s="105"/>
      <c r="B258" s="141"/>
      <c r="C258" s="104"/>
      <c r="D258" s="105"/>
      <c r="E258" s="103"/>
      <c r="F258" s="106"/>
      <c r="G258" s="112"/>
      <c r="H258" s="104"/>
      <c r="I258" s="107"/>
      <c r="J258" s="104"/>
      <c r="K258" s="107"/>
      <c r="L258" s="107"/>
      <c r="M258" s="103"/>
      <c r="N258" s="109"/>
      <c r="O258" s="110"/>
      <c r="P258" s="110"/>
      <c r="Q258" s="110"/>
      <c r="R258" s="154"/>
      <c r="S258" s="119"/>
      <c r="T258" s="120"/>
      <c r="U258" s="114"/>
      <c r="V258" s="113"/>
      <c r="W258" s="121"/>
    </row>
    <row r="259" spans="1:23">
      <c r="A259" s="105"/>
      <c r="B259" s="141"/>
      <c r="C259" s="104"/>
      <c r="D259" s="105"/>
      <c r="E259" s="103"/>
      <c r="F259" s="106"/>
      <c r="G259" s="112"/>
      <c r="H259" s="104"/>
      <c r="I259" s="107"/>
      <c r="J259" s="104"/>
      <c r="K259" s="107"/>
      <c r="L259" s="107"/>
      <c r="M259" s="103"/>
      <c r="N259" s="109"/>
      <c r="O259" s="110"/>
      <c r="P259" s="110"/>
      <c r="Q259" s="110"/>
      <c r="R259" s="154"/>
      <c r="S259" s="119"/>
      <c r="T259" s="120"/>
      <c r="U259" s="114"/>
      <c r="V259" s="113"/>
      <c r="W259" s="121"/>
    </row>
    <row r="260" spans="1:23">
      <c r="A260" s="105"/>
      <c r="B260" s="141"/>
      <c r="C260" s="104"/>
      <c r="D260" s="105"/>
      <c r="E260" s="103"/>
      <c r="F260" s="106"/>
      <c r="G260" s="112"/>
      <c r="H260" s="104"/>
      <c r="I260" s="107"/>
      <c r="J260" s="104"/>
      <c r="K260" s="107"/>
      <c r="L260" s="107"/>
      <c r="M260" s="103"/>
      <c r="N260" s="109"/>
      <c r="O260" s="110"/>
      <c r="P260" s="110"/>
      <c r="Q260" s="110"/>
      <c r="R260" s="154"/>
      <c r="S260" s="119"/>
      <c r="T260" s="120"/>
      <c r="U260" s="114"/>
      <c r="V260" s="113"/>
      <c r="W260" s="121"/>
    </row>
    <row r="261" spans="1:23">
      <c r="A261" s="105"/>
      <c r="B261" s="141"/>
      <c r="C261" s="104"/>
      <c r="D261" s="105"/>
      <c r="E261" s="103"/>
      <c r="F261" s="106"/>
      <c r="G261" s="112"/>
      <c r="H261" s="104"/>
      <c r="I261" s="107"/>
      <c r="J261" s="104"/>
      <c r="K261" s="107"/>
      <c r="L261" s="107"/>
      <c r="M261" s="103"/>
      <c r="N261" s="109"/>
      <c r="O261" s="110"/>
      <c r="P261" s="110"/>
      <c r="Q261" s="110"/>
      <c r="R261" s="154"/>
      <c r="S261" s="119"/>
      <c r="T261" s="120"/>
      <c r="U261" s="114"/>
      <c r="V261" s="113"/>
      <c r="W261" s="121"/>
    </row>
    <row r="262" spans="1:23">
      <c r="A262" s="105"/>
      <c r="B262" s="141"/>
      <c r="C262" s="104"/>
      <c r="D262" s="105"/>
      <c r="E262" s="103"/>
      <c r="F262" s="106"/>
      <c r="G262" s="112"/>
      <c r="H262" s="104"/>
      <c r="I262" s="107"/>
      <c r="J262" s="104"/>
      <c r="K262" s="107"/>
      <c r="L262" s="107"/>
      <c r="M262" s="103"/>
      <c r="N262" s="109"/>
      <c r="O262" s="110"/>
      <c r="P262" s="110"/>
      <c r="Q262" s="110"/>
      <c r="R262" s="154"/>
      <c r="S262" s="119"/>
      <c r="T262" s="120"/>
      <c r="U262" s="114"/>
      <c r="V262" s="113"/>
      <c r="W262" s="121"/>
    </row>
    <row r="263" spans="1:23">
      <c r="A263" s="105"/>
      <c r="B263" s="141"/>
      <c r="C263" s="104"/>
      <c r="D263" s="105"/>
      <c r="E263" s="103"/>
      <c r="F263" s="106"/>
      <c r="G263" s="112"/>
      <c r="H263" s="104"/>
      <c r="I263" s="107"/>
      <c r="J263" s="104"/>
      <c r="K263" s="107"/>
      <c r="L263" s="107"/>
      <c r="M263" s="103"/>
      <c r="N263" s="109"/>
      <c r="O263" s="110"/>
      <c r="P263" s="110"/>
      <c r="Q263" s="110"/>
      <c r="R263" s="154"/>
      <c r="S263" s="119"/>
      <c r="T263" s="120"/>
      <c r="U263" s="114"/>
      <c r="V263" s="113"/>
      <c r="W263" s="121"/>
    </row>
    <row r="264" spans="1:23">
      <c r="A264" s="105"/>
      <c r="B264" s="141"/>
      <c r="C264" s="104"/>
      <c r="D264" s="105"/>
      <c r="E264" s="103"/>
      <c r="F264" s="106"/>
      <c r="G264" s="112"/>
      <c r="H264" s="104"/>
      <c r="I264" s="107"/>
      <c r="J264" s="104"/>
      <c r="K264" s="107"/>
      <c r="L264" s="107"/>
      <c r="M264" s="103"/>
      <c r="N264" s="109"/>
      <c r="O264" s="110"/>
      <c r="P264" s="110"/>
      <c r="Q264" s="110"/>
      <c r="R264" s="154"/>
      <c r="S264" s="119"/>
      <c r="T264" s="120"/>
      <c r="U264" s="114"/>
      <c r="V264" s="113"/>
      <c r="W264" s="121"/>
    </row>
    <row r="265" spans="1:23">
      <c r="A265" s="105"/>
      <c r="B265" s="141"/>
      <c r="C265" s="104"/>
      <c r="D265" s="105"/>
      <c r="E265" s="103"/>
      <c r="F265" s="106"/>
      <c r="G265" s="112"/>
      <c r="H265" s="104"/>
      <c r="I265" s="107"/>
      <c r="J265" s="104"/>
      <c r="K265" s="107"/>
      <c r="L265" s="107"/>
      <c r="M265" s="103"/>
      <c r="N265" s="109"/>
      <c r="O265" s="110"/>
      <c r="P265" s="110"/>
      <c r="Q265" s="110"/>
      <c r="R265" s="154"/>
      <c r="S265" s="119"/>
      <c r="T265" s="120"/>
      <c r="U265" s="114"/>
      <c r="V265" s="113"/>
      <c r="W265" s="121"/>
    </row>
    <row r="266" spans="1:23" ht="15.75" thickBot="1">
      <c r="A266" s="105"/>
      <c r="B266" s="141"/>
      <c r="C266" s="104"/>
      <c r="D266" s="105"/>
      <c r="E266" s="103"/>
      <c r="F266" s="106"/>
      <c r="G266" s="112"/>
      <c r="H266" s="104"/>
      <c r="I266" s="107"/>
      <c r="J266" s="104"/>
      <c r="K266" s="107"/>
      <c r="L266" s="107"/>
      <c r="M266" s="103"/>
      <c r="N266" s="109"/>
      <c r="O266" s="110"/>
      <c r="P266" s="110"/>
      <c r="Q266" s="110"/>
      <c r="R266" s="154"/>
      <c r="S266" s="161"/>
      <c r="T266" s="162"/>
      <c r="U266" s="163"/>
      <c r="V266" s="164"/>
      <c r="W266" s="165"/>
    </row>
    <row r="267" spans="1:23">
      <c r="A267" s="142"/>
      <c r="B267" s="142"/>
      <c r="C267" s="142"/>
      <c r="D267" s="143"/>
      <c r="E267" s="141"/>
      <c r="F267" s="141"/>
      <c r="G267" s="141"/>
      <c r="H267" s="144"/>
      <c r="I267" s="144"/>
      <c r="J267" s="144"/>
      <c r="K267" s="144"/>
      <c r="L267" s="144"/>
      <c r="M267" s="141"/>
      <c r="N267" s="145"/>
      <c r="O267" s="146"/>
      <c r="P267" s="146"/>
      <c r="Q267" s="146"/>
      <c r="R267" s="122"/>
      <c r="S267" s="144"/>
      <c r="T267" s="144"/>
      <c r="U267" s="146"/>
      <c r="V267" s="146"/>
      <c r="W267" s="146"/>
    </row>
    <row r="268" spans="1:23">
      <c r="A268" s="142"/>
      <c r="B268" s="142"/>
      <c r="C268" s="142"/>
      <c r="D268" s="143"/>
      <c r="E268" s="141"/>
      <c r="F268" s="141"/>
      <c r="G268" s="141"/>
      <c r="H268" s="144"/>
      <c r="I268" s="144"/>
      <c r="J268" s="144"/>
      <c r="K268" s="144"/>
      <c r="L268" s="144"/>
      <c r="M268" s="141"/>
      <c r="N268" s="145"/>
      <c r="O268" s="146"/>
      <c r="P268" s="146"/>
      <c r="Q268" s="146"/>
      <c r="R268" s="122"/>
      <c r="S268" s="144"/>
      <c r="T268" s="144"/>
      <c r="U268" s="146"/>
      <c r="V268" s="146"/>
      <c r="W268" s="146"/>
    </row>
    <row r="269" spans="1:23">
      <c r="A269" s="142"/>
      <c r="B269" s="142"/>
      <c r="C269" s="142"/>
      <c r="D269" s="143"/>
      <c r="E269" s="141"/>
      <c r="F269" s="141"/>
      <c r="G269" s="141"/>
      <c r="H269" s="144"/>
      <c r="I269" s="144"/>
      <c r="J269" s="144"/>
      <c r="K269" s="144"/>
      <c r="L269" s="144"/>
      <c r="M269" s="141"/>
      <c r="N269" s="145"/>
      <c r="O269" s="146"/>
      <c r="P269" s="146"/>
      <c r="Q269" s="146"/>
      <c r="R269" s="122"/>
      <c r="S269" s="144"/>
      <c r="T269" s="144"/>
      <c r="U269" s="146"/>
      <c r="V269" s="146"/>
      <c r="W269" s="146"/>
    </row>
    <row r="270" spans="1:23">
      <c r="A270" s="142"/>
      <c r="B270" s="142"/>
      <c r="C270" s="142"/>
      <c r="D270" s="143"/>
      <c r="E270" s="141"/>
      <c r="F270" s="141"/>
      <c r="G270" s="141"/>
      <c r="H270" s="144"/>
      <c r="I270" s="144"/>
      <c r="J270" s="144"/>
      <c r="K270" s="144"/>
      <c r="L270" s="144"/>
      <c r="M270" s="141"/>
      <c r="N270" s="145"/>
      <c r="O270" s="146"/>
      <c r="P270" s="146"/>
      <c r="Q270" s="146"/>
      <c r="R270" s="122"/>
      <c r="S270" s="144"/>
      <c r="T270" s="144"/>
      <c r="U270" s="146"/>
      <c r="V270" s="146"/>
      <c r="W270" s="146"/>
    </row>
  </sheetData>
  <mergeCells count="3">
    <mergeCell ref="S1:W1"/>
    <mergeCell ref="S15:U15"/>
    <mergeCell ref="V15:W15"/>
  </mergeCells>
  <phoneticPr fontId="7" type="noConversion"/>
  <conditionalFormatting sqref="A17:A27">
    <cfRule type="expression" dxfId="125" priority="16">
      <formula>#REF!="New Claim"</formula>
    </cfRule>
  </conditionalFormatting>
  <conditionalFormatting sqref="A28:A35">
    <cfRule type="expression" dxfId="124" priority="135">
      <formula>$Q28="New Claim"</formula>
    </cfRule>
  </conditionalFormatting>
  <conditionalFormatting sqref="A80:C137 A141:A157">
    <cfRule type="expression" dxfId="123" priority="357">
      <formula>#REF!="New Claim"</formula>
    </cfRule>
  </conditionalFormatting>
  <conditionalFormatting sqref="B17:B79">
    <cfRule type="expression" dxfId="122" priority="10">
      <formula>#REF!="New Claim"</formula>
    </cfRule>
  </conditionalFormatting>
  <conditionalFormatting sqref="B141:B153">
    <cfRule type="expression" dxfId="121" priority="353">
      <formula>#REF!="New Claim"</formula>
    </cfRule>
  </conditionalFormatting>
  <conditionalFormatting sqref="C17:C79">
    <cfRule type="expression" dxfId="120" priority="5">
      <formula>#REF!="New Claim"</formula>
    </cfRule>
  </conditionalFormatting>
  <conditionalFormatting sqref="C80:C157">
    <cfRule type="expression" dxfId="119" priority="358">
      <formula>#REF!="New Claim"</formula>
    </cfRule>
  </conditionalFormatting>
  <conditionalFormatting sqref="C151:E153">
    <cfRule type="expression" dxfId="118" priority="475">
      <formula>#REF!="New Claim"</formula>
    </cfRule>
  </conditionalFormatting>
  <conditionalFormatting sqref="D17:D26">
    <cfRule type="expression" dxfId="117" priority="4">
      <formula>#REF!="New Claim"</formula>
    </cfRule>
  </conditionalFormatting>
  <conditionalFormatting sqref="D28:D65 F59:H64 J59:J64 F65:J65">
    <cfRule type="expression" dxfId="116" priority="64">
      <formula>#REF!="New Claim"</formula>
    </cfRule>
  </conditionalFormatting>
  <conditionalFormatting sqref="D59:D65">
    <cfRule type="duplicateValues" dxfId="115" priority="60"/>
  </conditionalFormatting>
  <conditionalFormatting sqref="D66:D67 D28:D58 D70:D76">
    <cfRule type="duplicateValues" dxfId="114" priority="121"/>
  </conditionalFormatting>
  <conditionalFormatting sqref="D68">
    <cfRule type="duplicateValues" dxfId="113" priority="54"/>
  </conditionalFormatting>
  <conditionalFormatting sqref="D69">
    <cfRule type="duplicateValues" dxfId="112" priority="53"/>
  </conditionalFormatting>
  <conditionalFormatting sqref="D77:D79 J77:J79 L77:L79 R77:R79">
    <cfRule type="expression" dxfId="111" priority="123">
      <formula>#REF!="New Claim"</formula>
    </cfRule>
  </conditionalFormatting>
  <conditionalFormatting sqref="D27:E27 M27 G27:H27">
    <cfRule type="expression" dxfId="110" priority="38">
      <formula>#REF!="New Claim"</formula>
    </cfRule>
  </conditionalFormatting>
  <conditionalFormatting sqref="D80:E137 A138:E140 A154:E266 L80:R114 M115:M132 G133:R137 G154:R266 G80:J116 N115:P117 R115:R117 Q115:Q122 J117:L118 G117:H121 N126 N138:N139 P138:R140">
    <cfRule type="expression" dxfId="109" priority="585">
      <formula>#REF!="New Claim"</formula>
    </cfRule>
  </conditionalFormatting>
  <conditionalFormatting sqref="E20">
    <cfRule type="expression" dxfId="108" priority="2">
      <formula>#REF!="New Claim"</formula>
    </cfRule>
  </conditionalFormatting>
  <conditionalFormatting sqref="E22">
    <cfRule type="expression" dxfId="107" priority="1">
      <formula>#REF!="New Claim"</formula>
    </cfRule>
  </conditionalFormatting>
  <conditionalFormatting sqref="E27">
    <cfRule type="duplicateValues" dxfId="106" priority="35"/>
    <cfRule type="duplicateValues" dxfId="105" priority="36"/>
    <cfRule type="duplicateValues" dxfId="104" priority="40"/>
  </conditionalFormatting>
  <conditionalFormatting sqref="E118">
    <cfRule type="duplicateValues" dxfId="103" priority="564"/>
  </conditionalFormatting>
  <conditionalFormatting sqref="E119:E132 E80:E117">
    <cfRule type="duplicateValues" dxfId="102" priority="1133"/>
  </conditionalFormatting>
  <conditionalFormatting sqref="E133:E139 E154:E266">
    <cfRule type="duplicateValues" dxfId="101" priority="1152"/>
  </conditionalFormatting>
  <conditionalFormatting sqref="E140">
    <cfRule type="duplicateValues" dxfId="100" priority="1265"/>
  </conditionalFormatting>
  <conditionalFormatting sqref="E141:E150">
    <cfRule type="duplicateValues" dxfId="99" priority="352"/>
    <cfRule type="duplicateValues" dxfId="98" priority="355"/>
    <cfRule type="duplicateValues" dxfId="97" priority="365"/>
  </conditionalFormatting>
  <conditionalFormatting sqref="E151:E153">
    <cfRule type="duplicateValues" dxfId="96" priority="479"/>
  </conditionalFormatting>
  <conditionalFormatting sqref="E151:E1048576 E1:E15 E80:E139">
    <cfRule type="duplicateValues" dxfId="95" priority="443"/>
  </conditionalFormatting>
  <conditionalFormatting sqref="E151:E1048576 E1:E15 E80:E140">
    <cfRule type="duplicateValues" dxfId="94" priority="391"/>
  </conditionalFormatting>
  <conditionalFormatting sqref="E25:H26">
    <cfRule type="expression" dxfId="93" priority="26">
      <formula>#REF!="New Claim"</formula>
    </cfRule>
  </conditionalFormatting>
  <conditionalFormatting sqref="E17:I24">
    <cfRule type="expression" dxfId="92" priority="9">
      <formula>#REF!="New Claim"</formula>
    </cfRule>
  </conditionalFormatting>
  <conditionalFormatting sqref="F31">
    <cfRule type="expression" dxfId="91" priority="93">
      <formula>#REF!="New Claim"</formula>
    </cfRule>
  </conditionalFormatting>
  <conditionalFormatting sqref="F35:F36">
    <cfRule type="expression" dxfId="90" priority="50">
      <formula>#REF!="New Claim"</formula>
    </cfRule>
  </conditionalFormatting>
  <conditionalFormatting sqref="F79">
    <cfRule type="expression" dxfId="89" priority="45">
      <formula>#REF!="New Claim"</formula>
    </cfRule>
  </conditionalFormatting>
  <conditionalFormatting sqref="F46:I46">
    <cfRule type="expression" dxfId="88" priority="68">
      <formula>#REF!="New Claim"</formula>
    </cfRule>
  </conditionalFormatting>
  <conditionalFormatting sqref="F28:J29 F30:H30">
    <cfRule type="expression" dxfId="87" priority="118">
      <formula>#REF!="New Claim"</formula>
    </cfRule>
  </conditionalFormatting>
  <conditionalFormatting sqref="G32">
    <cfRule type="expression" dxfId="86" priority="86">
      <formula>#REF!="New Claim"</formula>
    </cfRule>
  </conditionalFormatting>
  <conditionalFormatting sqref="G31:H31">
    <cfRule type="expression" dxfId="85" priority="84">
      <formula>#REF!="New Claim"</formula>
    </cfRule>
  </conditionalFormatting>
  <conditionalFormatting sqref="G73:H79">
    <cfRule type="expression" dxfId="84" priority="46">
      <formula>#REF!="New Claim"</formula>
    </cfRule>
  </conditionalFormatting>
  <conditionalFormatting sqref="G80:H115 J80:J115 N115:R127 J121:L121 G122:L123 L124:L128 G125:L125 G126:J127 J128 O128:R128 G128:H130 J129:L130 N129:R130 G131:L131 O131:R131 G132:J132 L132 N132:R132">
    <cfRule type="expression" dxfId="83" priority="669">
      <formula>#REF!="New Claim"</formula>
    </cfRule>
  </conditionalFormatting>
  <conditionalFormatting sqref="G124:K124">
    <cfRule type="expression" dxfId="82" priority="460">
      <formula>#REF!="New Claim"</formula>
    </cfRule>
  </conditionalFormatting>
  <conditionalFormatting sqref="G141:M153 C141:E150">
    <cfRule type="expression" dxfId="81" priority="362">
      <formula>#REF!="New Claim"</formula>
    </cfRule>
  </conditionalFormatting>
  <conditionalFormatting sqref="G138:N140">
    <cfRule type="expression" dxfId="80" priority="394">
      <formula>#REF!="New Claim"</formula>
    </cfRule>
  </conditionalFormatting>
  <conditionalFormatting sqref="H32">
    <cfRule type="expression" dxfId="79" priority="85">
      <formula>#REF!="New Claim"</formula>
    </cfRule>
  </conditionalFormatting>
  <conditionalFormatting sqref="I20:I27">
    <cfRule type="expression" dxfId="78" priority="3">
      <formula>#REF!="New Claim"</formula>
    </cfRule>
  </conditionalFormatting>
  <conditionalFormatting sqref="I30:I36">
    <cfRule type="expression" dxfId="77" priority="72">
      <formula>#REF!="New Claim"</formula>
    </cfRule>
  </conditionalFormatting>
  <conditionalFormatting sqref="I41:I43">
    <cfRule type="expression" dxfId="76" priority="58">
      <formula>#REF!="New Claim"</formula>
    </cfRule>
  </conditionalFormatting>
  <conditionalFormatting sqref="I47:I50">
    <cfRule type="expression" dxfId="75" priority="57">
      <formula>#REF!="New Claim"</formula>
    </cfRule>
  </conditionalFormatting>
  <conditionalFormatting sqref="I52">
    <cfRule type="expression" dxfId="74" priority="56">
      <formula>#REF!="New Claim"</formula>
    </cfRule>
  </conditionalFormatting>
  <conditionalFormatting sqref="I58:I64">
    <cfRule type="expression" dxfId="73" priority="55">
      <formula>#REF!="New Claim"</formula>
    </cfRule>
  </conditionalFormatting>
  <conditionalFormatting sqref="I67">
    <cfRule type="expression" dxfId="72" priority="44">
      <formula>#REF!="New Claim"</formula>
    </cfRule>
  </conditionalFormatting>
  <conditionalFormatting sqref="I71">
    <cfRule type="expression" dxfId="71" priority="43">
      <formula>#REF!="New Claim"</formula>
    </cfRule>
  </conditionalFormatting>
  <conditionalFormatting sqref="I116:I125">
    <cfRule type="expression" dxfId="70" priority="424">
      <formula>#REF!="New Claim"</formula>
    </cfRule>
  </conditionalFormatting>
  <conditionalFormatting sqref="I127:I131">
    <cfRule type="expression" dxfId="69" priority="418">
      <formula>#REF!="New Claim"</formula>
    </cfRule>
  </conditionalFormatting>
  <conditionalFormatting sqref="J17:J19">
    <cfRule type="expression" dxfId="68" priority="11">
      <formula>$S1048575="New Claim"</formula>
    </cfRule>
  </conditionalFormatting>
  <conditionalFormatting sqref="J17:J27">
    <cfRule type="expression" dxfId="67" priority="6">
      <formula>#REF!="New Claim"</formula>
    </cfRule>
  </conditionalFormatting>
  <conditionalFormatting sqref="J36 F37:J40 F41:H43 J41:J43 F44:J44 F45:H45 J45">
    <cfRule type="expression" dxfId="66" priority="71">
      <formula>#REF!="New Claim"</formula>
    </cfRule>
  </conditionalFormatting>
  <conditionalFormatting sqref="J28:K31">
    <cfRule type="expression" dxfId="65" priority="92">
      <formula>#REF!="New Claim"</formula>
    </cfRule>
  </conditionalFormatting>
  <conditionalFormatting sqref="J36:K45 M47:O58 M59">
    <cfRule type="expression" dxfId="64" priority="103">
      <formula>#REF!="New Claim"</formula>
    </cfRule>
  </conditionalFormatting>
  <conditionalFormatting sqref="J47:K65 N59:O59 M60:O61 N62 N63:O65">
    <cfRule type="expression" dxfId="63" priority="62">
      <formula>#REF!="New Claim"</formula>
    </cfRule>
  </conditionalFormatting>
  <conditionalFormatting sqref="J119:K120">
    <cfRule type="expression" dxfId="62" priority="461">
      <formula>#REF!="New Claim"</formula>
    </cfRule>
  </conditionalFormatting>
  <conditionalFormatting sqref="K32:K33">
    <cfRule type="expression" dxfId="61" priority="89">
      <formula>#REF!="New Claim"</formula>
    </cfRule>
  </conditionalFormatting>
  <conditionalFormatting sqref="K46">
    <cfRule type="expression" dxfId="60" priority="65">
      <formula>#REF!="New Claim"</formula>
    </cfRule>
  </conditionalFormatting>
  <conditionalFormatting sqref="K80:K114">
    <cfRule type="expression" dxfId="59" priority="465">
      <formula>#REF!="New Claim"</formula>
    </cfRule>
  </conditionalFormatting>
  <conditionalFormatting sqref="K126:K128">
    <cfRule type="expression" dxfId="58" priority="457">
      <formula>#REF!="New Claim"</formula>
    </cfRule>
  </conditionalFormatting>
  <conditionalFormatting sqref="K130:K132">
    <cfRule type="expression" dxfId="57" priority="445">
      <formula>#REF!="New Claim"</formula>
    </cfRule>
  </conditionalFormatting>
  <conditionalFormatting sqref="K139">
    <cfRule type="expression" dxfId="56" priority="415">
      <formula>#REF!="New Claim"</formula>
    </cfRule>
  </conditionalFormatting>
  <conditionalFormatting sqref="K157">
    <cfRule type="expression" dxfId="55" priority="455">
      <formula>#REF!="New Claim"</formula>
    </cfRule>
  </conditionalFormatting>
  <conditionalFormatting sqref="K35:L35">
    <cfRule type="expression" dxfId="54" priority="90">
      <formula>#REF!="New Claim"</formula>
    </cfRule>
  </conditionalFormatting>
  <conditionalFormatting sqref="K115:L116">
    <cfRule type="expression" dxfId="53" priority="449">
      <formula>#REF!="New Claim"</formula>
    </cfRule>
  </conditionalFormatting>
  <conditionalFormatting sqref="K118:L118">
    <cfRule type="expression" dxfId="52" priority="565">
      <formula>#REF!="New Claim"</formula>
    </cfRule>
  </conditionalFormatting>
  <conditionalFormatting sqref="K18:M18 L19:M25 O18:P27 K19:K25">
    <cfRule type="expression" dxfId="51" priority="8">
      <formula>#REF!="New Claim"</formula>
    </cfRule>
  </conditionalFormatting>
  <conditionalFormatting sqref="K26:M26 K27">
    <cfRule type="expression" dxfId="50" priority="25">
      <formula>#REF!="New Claim"</formula>
    </cfRule>
  </conditionalFormatting>
  <conditionalFormatting sqref="K17:P17">
    <cfRule type="expression" dxfId="49" priority="12">
      <formula>#REF!="New Claim"</formula>
    </cfRule>
  </conditionalFormatting>
  <conditionalFormatting sqref="L27:L33">
    <cfRule type="expression" dxfId="48" priority="37">
      <formula>#REF!="New Claim"</formula>
    </cfRule>
  </conditionalFormatting>
  <conditionalFormatting sqref="L35:L45">
    <cfRule type="expression" dxfId="47" priority="87">
      <formula>#REF!="New Claim"</formula>
    </cfRule>
  </conditionalFormatting>
  <conditionalFormatting sqref="L46">
    <cfRule type="containsBlanks" dxfId="46" priority="66">
      <formula>LEN(TRIM(L46))=0</formula>
    </cfRule>
  </conditionalFormatting>
  <conditionalFormatting sqref="L47:L65">
    <cfRule type="expression" dxfId="45" priority="61">
      <formula>#REF!="New Claim"</formula>
    </cfRule>
  </conditionalFormatting>
  <conditionalFormatting sqref="L118:L121">
    <cfRule type="expression" dxfId="44" priority="446">
      <formula>#REF!="New Claim"</formula>
    </cfRule>
  </conditionalFormatting>
  <conditionalFormatting sqref="L46:O46 I46:J46">
    <cfRule type="expression" dxfId="43" priority="67">
      <formula>#REF!="New Claim"</formula>
    </cfRule>
  </conditionalFormatting>
  <conditionalFormatting sqref="M17:M27">
    <cfRule type="containsBlanks" dxfId="42" priority="7">
      <formula>LEN(TRIM(M17))=0</formula>
    </cfRule>
  </conditionalFormatting>
  <conditionalFormatting sqref="M28:M29 F47:J47 F48:H48 J48 F49:J49 F50:H50 J50 F51:J58">
    <cfRule type="expression" dxfId="41" priority="113">
      <formula>#REF!="New Claim"</formula>
    </cfRule>
  </conditionalFormatting>
  <conditionalFormatting sqref="M28:M29">
    <cfRule type="expression" dxfId="40" priority="96">
      <formula>$R28="New Claim"</formula>
    </cfRule>
    <cfRule type="expression" dxfId="39" priority="100">
      <formula>$R16="New Claim"</formula>
    </cfRule>
  </conditionalFormatting>
  <conditionalFormatting sqref="M31:M45">
    <cfRule type="containsBlanks" dxfId="38" priority="70">
      <formula>LEN(TRIM(M31))=0</formula>
    </cfRule>
  </conditionalFormatting>
  <conditionalFormatting sqref="M47:M59 M28:M30">
    <cfRule type="containsBlanks" dxfId="37" priority="112">
      <formula>LEN(TRIM(M28))=0</formula>
    </cfRule>
  </conditionalFormatting>
  <conditionalFormatting sqref="M60:M61">
    <cfRule type="containsBlanks" dxfId="36" priority="63">
      <formula>LEN(TRIM(M60))=0</formula>
    </cfRule>
  </conditionalFormatting>
  <conditionalFormatting sqref="M62:M79">
    <cfRule type="expression" dxfId="35" priority="51">
      <formula>#REF!="New Claim"</formula>
    </cfRule>
    <cfRule type="containsBlanks" dxfId="34" priority="52">
      <formula>LEN(TRIM(M62))=0</formula>
    </cfRule>
  </conditionalFormatting>
  <conditionalFormatting sqref="M68:M69">
    <cfRule type="expression" dxfId="33" priority="127">
      <formula>$S68="New Claim"</formula>
    </cfRule>
    <cfRule type="expression" dxfId="32" priority="128">
      <formula>$S53="New Claim"</formula>
    </cfRule>
  </conditionalFormatting>
  <conditionalFormatting sqref="M80:M266">
    <cfRule type="containsBlanks" dxfId="31" priority="361">
      <formula>LEN(TRIM(M80))=0</formula>
    </cfRule>
  </conditionalFormatting>
  <conditionalFormatting sqref="M28:O45 J30:J32 G33:J33 J34:L35 G34:H36">
    <cfRule type="expression" dxfId="30" priority="91">
      <formula>#REF!="New Claim"</formula>
    </cfRule>
  </conditionalFormatting>
  <conditionalFormatting sqref="N18:N27">
    <cfRule type="expression" dxfId="29" priority="17">
      <formula>#REF!="New Claim"</formula>
    </cfRule>
  </conditionalFormatting>
  <conditionalFormatting sqref="N128:N132">
    <cfRule type="expression" dxfId="28" priority="390">
      <formula>#REF!="New Claim"</formula>
    </cfRule>
  </conditionalFormatting>
  <conditionalFormatting sqref="N77:P78">
    <cfRule type="expression" dxfId="27" priority="125">
      <formula>#REF!="New Claim"</formula>
    </cfRule>
  </conditionalFormatting>
  <conditionalFormatting sqref="N79:P79">
    <cfRule type="expression" dxfId="26" priority="47">
      <formula>#REF!="New Claim"</formula>
    </cfRule>
  </conditionalFormatting>
  <conditionalFormatting sqref="N141:R153">
    <cfRule type="expression" dxfId="25" priority="356">
      <formula>#REF!="New Claim"</formula>
    </cfRule>
  </conditionalFormatting>
  <conditionalFormatting sqref="O46">
    <cfRule type="expression" dxfId="24" priority="69">
      <formula>#REF!="New Claim"</formula>
    </cfRule>
  </conditionalFormatting>
  <conditionalFormatting sqref="O62">
    <cfRule type="expression" dxfId="23" priority="59">
      <formula>#REF!="New Claim"</formula>
    </cfRule>
  </conditionalFormatting>
  <conditionalFormatting sqref="O77:O79">
    <cfRule type="containsBlanks" dxfId="22" priority="124">
      <formula>LEN(TRIM(O77))=0</formula>
    </cfRule>
  </conditionalFormatting>
  <conditionalFormatting sqref="P28:P35">
    <cfRule type="expression" dxfId="21" priority="114">
      <formula>#REF!="New Claim"</formula>
    </cfRule>
  </conditionalFormatting>
  <conditionalFormatting sqref="Q56">
    <cfRule type="expression" dxfId="20" priority="126">
      <formula>#REF!="New Claim"</formula>
    </cfRule>
  </conditionalFormatting>
  <conditionalFormatting sqref="Q17:R17">
    <cfRule type="expression" dxfId="19" priority="119">
      <formula>$Q16="New Claim"</formula>
    </cfRule>
  </conditionalFormatting>
  <conditionalFormatting sqref="R18:R20 Q18:Q55 Q57:Q114">
    <cfRule type="expression" dxfId="18" priority="115">
      <formula>$Q17="New Claim"</formula>
    </cfRule>
  </conditionalFormatting>
  <conditionalFormatting sqref="R21:R27">
    <cfRule type="expression" dxfId="17" priority="116">
      <formula>#REF!="New Claim"</formula>
    </cfRule>
  </conditionalFormatting>
  <conditionalFormatting sqref="R23:R35">
    <cfRule type="expression" dxfId="16" priority="117">
      <formula>$Q23="New Claim"</formula>
    </cfRule>
  </conditionalFormatting>
  <conditionalFormatting sqref="S141:S266 V141:V266">
    <cfRule type="cellIs" dxfId="15" priority="363" operator="lessThan">
      <formula>10</formula>
    </cfRule>
  </conditionalFormatting>
  <conditionalFormatting sqref="T17:T79">
    <cfRule type="expression" dxfId="14" priority="20">
      <formula>$S17&lt;10</formula>
    </cfRule>
  </conditionalFormatting>
  <conditionalFormatting sqref="T80:T266">
    <cfRule type="expression" dxfId="13" priority="366">
      <formula>$S80&lt;10</formula>
    </cfRule>
  </conditionalFormatting>
  <conditionalFormatting sqref="U10:U12 W10:W12 S17:S114 V17:V114">
    <cfRule type="cellIs" dxfId="12" priority="662" operator="lessThan">
      <formula>10</formula>
    </cfRule>
  </conditionalFormatting>
  <pageMargins left="0.25" right="0.25" top="0.75" bottom="0.75" header="0.3" footer="0.3"/>
  <pageSetup scale="33" fitToHeight="0" orientation="landscape" r:id="rId1"/>
  <headerFooter scaleWithDoc="0"/>
  <drawing r:id="rId2"/>
  <legacyDrawing r:id="rId3"/>
  <tableParts count="1">
    <tablePart r:id="rId4"/>
  </tableParts>
  <extLst>
    <ext xmlns:x14="http://schemas.microsoft.com/office/spreadsheetml/2009/9/main" uri="{CCE6A557-97BC-4b89-ADB6-D9C93CAAB3DF}">
      <x14:dataValidations xmlns:xm="http://schemas.microsoft.com/office/excel/2006/main" count="11">
        <x14:dataValidation type="list" allowBlank="1" showInputMessage="1" showErrorMessage="1" xr:uid="{A7CAFC34-0B99-4502-9803-88FCC5C69F2D}">
          <x14:formula1>
            <xm:f>'Drop downs'!$D$2:$D$13</xm:f>
          </x14:formula1>
          <xm:sqref>T9:T12 K25:K114</xm:sqref>
        </x14:dataValidation>
        <x14:dataValidation type="list" allowBlank="1" showInputMessage="1" showErrorMessage="1" xr:uid="{499C0684-1289-44A2-9CCE-F57634E2F336}">
          <x14:formula1>
            <xm:f>'Drop downs'!$A$2:$A$14</xm:f>
          </x14:formula1>
          <xm:sqref>A150:A153 A115:A132</xm:sqref>
        </x14:dataValidation>
        <x14:dataValidation type="list" allowBlank="1" showInputMessage="1" showErrorMessage="1" xr:uid="{00000000-0002-0000-0000-000000000000}">
          <x14:formula1>
            <xm:f>'Drop downs'!$A$2:$A$10</xm:f>
          </x14:formula1>
          <xm:sqref>B150:B153 A145:B149 A154:B65606 A133:A140</xm:sqref>
        </x14:dataValidation>
        <x14:dataValidation type="list" allowBlank="1" showInputMessage="1" showErrorMessage="1" xr:uid="{8E0BA3E2-904A-4502-8C27-38E3C8225957}">
          <x14:formula1>
            <xm:f>'Drop downs'!$C$2:$C$4</xm:f>
          </x14:formula1>
          <xm:sqref>R150:R157 R80:R140</xm:sqref>
        </x14:dataValidation>
        <x14:dataValidation type="list" allowBlank="1" showInputMessage="1" showErrorMessage="1" xr:uid="{E47EFF4C-0B18-4BB0-A169-5E75DB5452A4}">
          <x14:formula1>
            <xm:f>'Drop downs'!$B$2:$B$4</xm:f>
          </x14:formula1>
          <xm:sqref>I150:I157 I80:I140</xm:sqref>
        </x14:dataValidation>
        <x14:dataValidation type="list" allowBlank="1" showInputMessage="1" showErrorMessage="1" xr:uid="{F79F9011-8F09-4E1B-8DD2-C265DF2EBF0E}">
          <x14:formula1>
            <xm:f>'Drop downs'!$F$2:$F$3</xm:f>
          </x14:formula1>
          <xm:sqref>B150:B157 B115:B140</xm:sqref>
        </x14:dataValidation>
        <x14:dataValidation type="list" allowBlank="1" showInputMessage="1" showErrorMessage="1" xr:uid="{5D1227FE-D85A-404F-B654-0AE9993146DF}">
          <x14:formula1>
            <xm:f>'Drop downs'!$C$2:$C$3</xm:f>
          </x14:formula1>
          <xm:sqref>X17:X35</xm:sqref>
        </x14:dataValidation>
        <x14:dataValidation type="list" allowBlank="1" showInputMessage="1" showErrorMessage="1" xr:uid="{4BEA4829-1830-421B-8926-BA3B40F272B8}">
          <x14:formula1>
            <xm:f>'Drop downs'!$F$2:$F$4</xm:f>
          </x14:formula1>
          <xm:sqref>B80:B114</xm:sqref>
        </x14:dataValidation>
        <x14:dataValidation type="list" allowBlank="1" showInputMessage="1" showErrorMessage="1" xr:uid="{E1F21419-14DE-4430-AA14-D3DB3742AB41}">
          <x14:formula1>
            <xm:f>'Drop downs'!$E$2:$E$11</xm:f>
          </x14:formula1>
          <xm:sqref>L25:L1048576</xm:sqref>
        </x14:dataValidation>
        <x14:dataValidation type="list" allowBlank="1" showInputMessage="1" showErrorMessage="1" xr:uid="{A75004DA-70FF-45BF-B766-0628E4333D21}">
          <x14:formula1>
            <xm:f>'Drop downs'!$D$2:$D$14</xm:f>
          </x14:formula1>
          <xm:sqref>K115:K1048576</xm:sqref>
        </x14:dataValidation>
        <x14:dataValidation type="list" allowBlank="1" showInputMessage="1" showErrorMessage="1" xr:uid="{929EF714-4501-4030-B827-446A20BF83DF}">
          <x14:formula1>
            <xm:f>'Drop downs'!$A$2:$A$16</xm:f>
          </x14:formula1>
          <xm:sqref>A80:A114</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44"/>
  <sheetViews>
    <sheetView tabSelected="1" zoomScale="85" zoomScaleNormal="85" workbookViewId="0">
      <selection activeCell="F44" sqref="F44"/>
    </sheetView>
  </sheetViews>
  <sheetFormatPr defaultRowHeight="15.75"/>
  <cols>
    <col min="1" max="1" width="25.28515625" style="45" customWidth="1"/>
    <col min="2" max="2" width="20.85546875" style="45" customWidth="1"/>
    <col min="3" max="3" width="22.5703125" style="45" customWidth="1"/>
    <col min="4" max="4" width="25.85546875" style="45" customWidth="1"/>
    <col min="5" max="6" width="25.85546875" style="44" customWidth="1"/>
    <col min="7" max="7" width="30" style="44" customWidth="1"/>
    <col min="8" max="8" width="31.28515625" style="44" customWidth="1"/>
    <col min="9" max="9" width="25.85546875" style="44" customWidth="1"/>
    <col min="10" max="10" width="21.85546875" style="45" customWidth="1"/>
    <col min="11" max="11" width="9.140625" style="45"/>
    <col min="12" max="12" width="17.140625" style="45" customWidth="1"/>
    <col min="13" max="17" width="8.85546875" style="45"/>
    <col min="18" max="16384" width="9.140625" style="45"/>
  </cols>
  <sheetData>
    <row r="1" spans="1:9" ht="37.5" customHeight="1">
      <c r="A1" s="242"/>
      <c r="B1" s="242"/>
      <c r="C1" s="242"/>
      <c r="D1" s="242"/>
    </row>
    <row r="2" spans="1:9" ht="18.75" customHeight="1">
      <c r="A2" s="45" t="s">
        <v>53</v>
      </c>
      <c r="B2" s="43"/>
      <c r="C2" s="43"/>
      <c r="D2" s="43"/>
    </row>
    <row r="3" spans="1:9" ht="18.75" customHeight="1" thickBot="1"/>
    <row r="4" spans="1:9">
      <c r="D4" s="40" t="str">
        <f>'Claim Details'!T7</f>
        <v>Loss Classification</v>
      </c>
      <c r="E4" s="245" t="s">
        <v>79</v>
      </c>
      <c r="F4" s="245"/>
      <c r="G4" s="245" t="s">
        <v>64</v>
      </c>
      <c r="H4" s="246"/>
    </row>
    <row r="5" spans="1:9">
      <c r="D5" s="46" t="str">
        <f>'Claim Details'!T8</f>
        <v>AOP</v>
      </c>
      <c r="E5" s="235">
        <f>'Claim Details'!U8</f>
        <v>100000</v>
      </c>
      <c r="F5" s="235"/>
      <c r="G5" s="235">
        <f>'Claim Details'!W8</f>
        <v>250000</v>
      </c>
      <c r="H5" s="236"/>
    </row>
    <row r="6" spans="1:9">
      <c r="D6" s="46" t="str">
        <f>IF('Claim Details'!T9=0,"",'Claim Details'!T9)</f>
        <v>Windstorm</v>
      </c>
      <c r="E6" s="235">
        <f>'Claim Details'!U9</f>
        <v>0.01</v>
      </c>
      <c r="F6" s="235"/>
      <c r="G6" s="235">
        <f>'Claim Details'!W9</f>
        <v>0.01</v>
      </c>
      <c r="H6" s="236"/>
    </row>
    <row r="7" spans="1:9" ht="16.5" thickBot="1">
      <c r="D7" s="50" t="str">
        <f>IF('Claim Details'!T10=0,"",'Claim Details'!T10)</f>
        <v>Named Windstorm</v>
      </c>
      <c r="E7" s="237">
        <f>'Claim Details'!U10</f>
        <v>0.03</v>
      </c>
      <c r="F7" s="237"/>
      <c r="G7" s="237">
        <f>'Claim Details'!W10</f>
        <v>0.03</v>
      </c>
      <c r="H7" s="238"/>
    </row>
    <row r="8" spans="1:9">
      <c r="D8" s="44"/>
      <c r="I8" s="45"/>
    </row>
    <row r="9" spans="1:9" ht="16.5" thickBot="1">
      <c r="D9" s="44"/>
      <c r="I9" s="45"/>
    </row>
    <row r="10" spans="1:9" ht="16.5" thickBot="1">
      <c r="C10" s="243" t="s">
        <v>65</v>
      </c>
      <c r="D10" s="244"/>
      <c r="E10" s="243" t="s">
        <v>82</v>
      </c>
      <c r="F10" s="244"/>
      <c r="G10" s="243" t="s">
        <v>66</v>
      </c>
      <c r="H10" s="244"/>
      <c r="I10" s="45"/>
    </row>
    <row r="11" spans="1:9" s="53" customFormat="1" ht="19.5" customHeight="1">
      <c r="A11" s="250" t="s">
        <v>87</v>
      </c>
      <c r="B11" s="65" t="s">
        <v>13</v>
      </c>
      <c r="C11" s="36" t="s">
        <v>12</v>
      </c>
      <c r="D11" s="37" t="s">
        <v>18</v>
      </c>
      <c r="E11" s="36" t="s">
        <v>12</v>
      </c>
      <c r="F11" s="37" t="s">
        <v>14</v>
      </c>
      <c r="G11" s="36" t="s">
        <v>12</v>
      </c>
      <c r="H11" s="37" t="s">
        <v>6</v>
      </c>
    </row>
    <row r="12" spans="1:9">
      <c r="A12" s="251"/>
      <c r="B12" s="54" t="s">
        <v>68</v>
      </c>
      <c r="C12" s="55">
        <f>COUNTIF('Claim Details'!$A$17:$A$506,B12)</f>
        <v>0</v>
      </c>
      <c r="D12" s="56">
        <f t="shared" ref="D12" si="0">SUMIF(PolicyYears,B12,Claim_Total)</f>
        <v>0</v>
      </c>
      <c r="E12" s="57">
        <f t="shared" ref="E12" si="1">COUNTIFS(PolicyYears,B12,CurrentDeductible,"&gt;0")</f>
        <v>0</v>
      </c>
      <c r="F12" s="48">
        <f t="shared" ref="F12" si="2">SUMIF(PolicyYears,B12,CurrentDeductible)</f>
        <v>0</v>
      </c>
      <c r="G12" s="57">
        <f t="shared" ref="G12" si="3">COUNTIFS(PolicyYears,B12,OtherDeductible,"&gt;0")</f>
        <v>0</v>
      </c>
      <c r="H12" s="48">
        <f t="shared" ref="H12" si="4">SUMIF(PolicyYears,B12,OtherDeductible)</f>
        <v>0</v>
      </c>
      <c r="I12" s="45"/>
    </row>
    <row r="13" spans="1:9">
      <c r="A13" s="251"/>
      <c r="B13" s="54" t="s">
        <v>71</v>
      </c>
      <c r="C13" s="55">
        <f>COUNTIF('Claim Details'!$A$17:$A$506,B13)</f>
        <v>0</v>
      </c>
      <c r="D13" s="56">
        <f t="shared" ref="D13:D17" si="5">SUMIF(PolicyYears,B13,Claim_Total)</f>
        <v>0</v>
      </c>
      <c r="E13" s="57">
        <f t="shared" ref="E13:E17" si="6">COUNTIFS(PolicyYears,B13,CurrentDeductible,"&gt;0")</f>
        <v>0</v>
      </c>
      <c r="F13" s="48">
        <f t="shared" ref="F13:F17" si="7">SUMIF(PolicyYears,B13,CurrentDeductible)</f>
        <v>0</v>
      </c>
      <c r="G13" s="57">
        <f t="shared" ref="G13:G17" si="8">COUNTIFS(PolicyYears,B13,OtherDeductible,"&gt;0")</f>
        <v>0</v>
      </c>
      <c r="H13" s="48">
        <f t="shared" ref="H13:H17" si="9">SUMIF(PolicyYears,B13,OtherDeductible)</f>
        <v>0</v>
      </c>
      <c r="I13" s="45"/>
    </row>
    <row r="14" spans="1:9">
      <c r="A14" s="251"/>
      <c r="B14" s="54" t="s">
        <v>88</v>
      </c>
      <c r="C14" s="55">
        <f>COUNTIF('Claim Details'!$A$17:$A$506,B14)</f>
        <v>0</v>
      </c>
      <c r="D14" s="56">
        <f t="shared" si="5"/>
        <v>0</v>
      </c>
      <c r="E14" s="57">
        <f t="shared" si="6"/>
        <v>0</v>
      </c>
      <c r="F14" s="48">
        <f t="shared" si="7"/>
        <v>0</v>
      </c>
      <c r="G14" s="57">
        <f t="shared" si="8"/>
        <v>0</v>
      </c>
      <c r="H14" s="48">
        <f t="shared" si="9"/>
        <v>0</v>
      </c>
      <c r="I14" s="45"/>
    </row>
    <row r="15" spans="1:9">
      <c r="A15" s="251"/>
      <c r="B15" s="54" t="s">
        <v>89</v>
      </c>
      <c r="C15" s="55">
        <f>COUNTIF('Claim Details'!$A$17:$A$506,B15)</f>
        <v>0</v>
      </c>
      <c r="D15" s="56">
        <f t="shared" si="5"/>
        <v>0</v>
      </c>
      <c r="E15" s="57">
        <f t="shared" si="6"/>
        <v>0</v>
      </c>
      <c r="F15" s="48">
        <f t="shared" si="7"/>
        <v>0</v>
      </c>
      <c r="G15" s="57">
        <f t="shared" si="8"/>
        <v>0</v>
      </c>
      <c r="H15" s="48">
        <f t="shared" si="9"/>
        <v>0</v>
      </c>
      <c r="I15" s="45"/>
    </row>
    <row r="16" spans="1:9">
      <c r="A16" s="251"/>
      <c r="B16" s="54" t="s">
        <v>90</v>
      </c>
      <c r="C16" s="55">
        <f>COUNTIF('Claim Details'!$A$17:$A$506,B16)</f>
        <v>0</v>
      </c>
      <c r="D16" s="56">
        <f t="shared" si="5"/>
        <v>0</v>
      </c>
      <c r="E16" s="57">
        <f t="shared" si="6"/>
        <v>0</v>
      </c>
      <c r="F16" s="48">
        <f t="shared" si="7"/>
        <v>0</v>
      </c>
      <c r="G16" s="57">
        <f t="shared" si="8"/>
        <v>0</v>
      </c>
      <c r="H16" s="48">
        <f t="shared" si="9"/>
        <v>0</v>
      </c>
      <c r="I16" s="45"/>
    </row>
    <row r="17" spans="1:9">
      <c r="A17" s="251"/>
      <c r="B17" s="54" t="s">
        <v>91</v>
      </c>
      <c r="C17" s="55">
        <f>COUNTIF('Claim Details'!$A$17:$A$506,B17)</f>
        <v>0</v>
      </c>
      <c r="D17" s="56">
        <f t="shared" si="5"/>
        <v>0</v>
      </c>
      <c r="E17" s="57">
        <f t="shared" si="6"/>
        <v>0</v>
      </c>
      <c r="F17" s="48">
        <f t="shared" si="7"/>
        <v>0</v>
      </c>
      <c r="G17" s="57">
        <f t="shared" si="8"/>
        <v>0</v>
      </c>
      <c r="H17" s="48">
        <f t="shared" si="9"/>
        <v>0</v>
      </c>
      <c r="I17" s="45"/>
    </row>
    <row r="18" spans="1:9" ht="16.5" thickBot="1">
      <c r="A18" s="251"/>
      <c r="B18" s="166" t="s">
        <v>11</v>
      </c>
      <c r="C18" s="38">
        <f t="shared" ref="C18:H18" si="10">SUM(C12:C17)</f>
        <v>0</v>
      </c>
      <c r="D18" s="39">
        <f t="shared" si="10"/>
        <v>0</v>
      </c>
      <c r="E18" s="38">
        <f t="shared" si="10"/>
        <v>0</v>
      </c>
      <c r="F18" s="39">
        <f t="shared" si="10"/>
        <v>0</v>
      </c>
      <c r="G18" s="38">
        <f t="shared" si="10"/>
        <v>0</v>
      </c>
      <c r="H18" s="39">
        <f t="shared" si="10"/>
        <v>0</v>
      </c>
      <c r="I18" s="45"/>
    </row>
    <row r="19" spans="1:9">
      <c r="A19" s="251"/>
      <c r="B19" s="58" t="str">
        <f>COUNTIF(B12:B17,"*")&amp;"-year AAL"</f>
        <v>6-year AAL</v>
      </c>
      <c r="C19" s="59">
        <f t="shared" ref="C19:H19" si="11">C18/COUNTIF($B$12:$B$17,"*")</f>
        <v>0</v>
      </c>
      <c r="D19" s="60">
        <f t="shared" si="11"/>
        <v>0</v>
      </c>
      <c r="E19" s="59">
        <f t="shared" si="11"/>
        <v>0</v>
      </c>
      <c r="F19" s="60">
        <f t="shared" si="11"/>
        <v>0</v>
      </c>
      <c r="G19" s="59">
        <f t="shared" si="11"/>
        <v>0</v>
      </c>
      <c r="H19" s="221">
        <f t="shared" si="11"/>
        <v>0</v>
      </c>
      <c r="I19" s="45"/>
    </row>
    <row r="20" spans="1:9" ht="16.5" thickBot="1">
      <c r="A20" s="251"/>
      <c r="B20" s="61" t="str">
        <f>'Drop downs'!G2&amp;"-year AAL"</f>
        <v>3-year AAL</v>
      </c>
      <c r="C20" s="62">
        <f ca="1">AVERAGE(OFFSET(C11,COUNT(C12:C17),0,-'Drop downs'!$G$2))</f>
        <v>0</v>
      </c>
      <c r="D20" s="63">
        <f ca="1">AVERAGE(OFFSET(D11,COUNT(D12:D17),0,-'Drop downs'!$G$2))</f>
        <v>0</v>
      </c>
      <c r="E20" s="62">
        <f ca="1">AVERAGE(OFFSET(E11,COUNT(E12:E17),0,-'Drop downs'!$G$2))</f>
        <v>0</v>
      </c>
      <c r="F20" s="63">
        <f ca="1">AVERAGE(OFFSET(F11,COUNT(F12:F17),0,-'Drop downs'!$G$2))</f>
        <v>0</v>
      </c>
      <c r="G20" s="62">
        <f ca="1">AVERAGE(OFFSET(G11,COUNT(G12:G17),0,-'Drop downs'!$G$2))</f>
        <v>0</v>
      </c>
      <c r="H20" s="52">
        <f ca="1">AVERAGE(OFFSET(H11,COUNT(H12:H17),0,-'Drop downs'!$G$2))</f>
        <v>0</v>
      </c>
      <c r="I20" s="45"/>
    </row>
    <row r="21" spans="1:9" ht="16.5" thickBot="1">
      <c r="B21" s="53"/>
      <c r="C21" s="222"/>
      <c r="D21" s="223"/>
      <c r="E21" s="223"/>
      <c r="F21" s="223"/>
      <c r="G21" s="223"/>
      <c r="H21" s="224"/>
      <c r="I21" s="45"/>
    </row>
    <row r="22" spans="1:9" ht="16.5" thickBot="1">
      <c r="D22" s="44"/>
      <c r="I22" s="45"/>
    </row>
    <row r="23" spans="1:9" ht="16.5" thickBot="1">
      <c r="C23" s="243" t="s">
        <v>65</v>
      </c>
      <c r="D23" s="244"/>
      <c r="E23" s="243" t="s">
        <v>82</v>
      </c>
      <c r="F23" s="244"/>
      <c r="G23" s="243" t="s">
        <v>66</v>
      </c>
      <c r="H23" s="244"/>
      <c r="I23" s="45"/>
    </row>
    <row r="24" spans="1:9" s="53" customFormat="1" ht="19.5" customHeight="1">
      <c r="A24" s="250" t="s">
        <v>86</v>
      </c>
      <c r="B24" s="65" t="s">
        <v>13</v>
      </c>
      <c r="C24" s="36" t="s">
        <v>12</v>
      </c>
      <c r="D24" s="37" t="s">
        <v>18</v>
      </c>
      <c r="E24" s="36" t="s">
        <v>12</v>
      </c>
      <c r="F24" s="37" t="s">
        <v>14</v>
      </c>
      <c r="G24" s="36" t="s">
        <v>12</v>
      </c>
      <c r="H24" s="37" t="s">
        <v>6</v>
      </c>
    </row>
    <row r="25" spans="1:9">
      <c r="A25" s="251"/>
      <c r="B25" s="54" t="s">
        <v>31</v>
      </c>
      <c r="C25" s="55">
        <f>COUNTIFS(OwnershipStatus,'Drop downs'!$B$3,PolicyYears,B25)</f>
        <v>0</v>
      </c>
      <c r="D25" s="56">
        <f>SUMIFS(Claim_Total,PolicyYears,B25,OwnershipStatus,'Drop downs'!$B$3)</f>
        <v>0</v>
      </c>
      <c r="E25" s="57">
        <f>COUNTIFS(PolicyYears,B25,CurrentDeductible,"&gt;0",OwnershipStatus,'Drop downs'!$B$3)</f>
        <v>0</v>
      </c>
      <c r="F25" s="48">
        <f>SUMIFS(CurrentDeductible,PolicyYears,B25,OwnershipStatus,'Drop downs'!$B$3)</f>
        <v>0</v>
      </c>
      <c r="G25" s="57">
        <f>COUNTIFS(PolicyYears,B25,OtherDeductible,"&gt;0",OwnershipStatus,'Drop downs'!$B$3)</f>
        <v>0</v>
      </c>
      <c r="H25" s="48">
        <f>SUMIFS(OtherDeductible,PolicyYears,B25,OwnershipStatus,'Drop downs'!$B$3)</f>
        <v>0</v>
      </c>
      <c r="I25" s="45"/>
    </row>
    <row r="26" spans="1:9">
      <c r="A26" s="251"/>
      <c r="B26" s="54" t="s">
        <v>68</v>
      </c>
      <c r="C26" s="55">
        <f>COUNTIFS(OwnershipStatus,'Drop downs'!$B$3,PolicyYears,B26)</f>
        <v>0</v>
      </c>
      <c r="D26" s="56">
        <f>SUMIFS(Claim_Total,PolicyYears,B26,OwnershipStatus,'Drop downs'!$B$3)</f>
        <v>0</v>
      </c>
      <c r="E26" s="57">
        <f>COUNTIFS(PolicyYears,B26,CurrentDeductible,"&gt;0",OwnershipStatus,'Drop downs'!$B$3)</f>
        <v>0</v>
      </c>
      <c r="F26" s="48">
        <f>SUMIFS(CurrentDeductible,PolicyYears,B26,OwnershipStatus,'Drop downs'!$B$3)</f>
        <v>0</v>
      </c>
      <c r="G26" s="57">
        <f>COUNTIFS(PolicyYears,B26,OtherDeductible,"&gt;0",OwnershipStatus,'Drop downs'!$B$3)</f>
        <v>0</v>
      </c>
      <c r="H26" s="48">
        <f>SUMIFS(OtherDeductible,PolicyYears,B26,OwnershipStatus,'Drop downs'!$B$3)</f>
        <v>0</v>
      </c>
      <c r="I26" s="45"/>
    </row>
    <row r="27" spans="1:9">
      <c r="A27" s="251"/>
      <c r="B27" s="54" t="s">
        <v>71</v>
      </c>
      <c r="C27" s="55">
        <f>COUNTIFS(OwnershipStatus,'Drop downs'!$B$3,PolicyYears,B27)</f>
        <v>0</v>
      </c>
      <c r="D27" s="56">
        <f>SUMIFS(Claim_Total,PolicyYears,B27,OwnershipStatus,'Drop downs'!$B$3)</f>
        <v>0</v>
      </c>
      <c r="E27" s="57">
        <f>COUNTIFS(PolicyYears,B27,CurrentDeductible,"&gt;0",OwnershipStatus,'Drop downs'!$B$3)</f>
        <v>0</v>
      </c>
      <c r="F27" s="48">
        <f>SUMIFS(CurrentDeductible,PolicyYears,B27,OwnershipStatus,'Drop downs'!$B$3)</f>
        <v>0</v>
      </c>
      <c r="G27" s="57">
        <f>COUNTIFS(PolicyYears,B27,OtherDeductible,"&gt;0",OwnershipStatus,'Drop downs'!$B$3)</f>
        <v>0</v>
      </c>
      <c r="H27" s="48">
        <f>SUMIFS(OtherDeductible,PolicyYears,B27,OwnershipStatus,'Drop downs'!$B$3)</f>
        <v>0</v>
      </c>
      <c r="I27" s="45"/>
    </row>
    <row r="28" spans="1:9">
      <c r="A28" s="251"/>
      <c r="B28" s="54" t="s">
        <v>88</v>
      </c>
      <c r="C28" s="55">
        <f>COUNTIFS(OwnershipStatus,'Drop downs'!$B$3,PolicyYears,B28)</f>
        <v>0</v>
      </c>
      <c r="D28" s="56">
        <f>SUMIFS(Claim_Total,PolicyYears,B28,OwnershipStatus,'Drop downs'!$B$3)</f>
        <v>0</v>
      </c>
      <c r="E28" s="57">
        <f>COUNTIFS(PolicyYears,B28,CurrentDeductible,"&gt;0",OwnershipStatus,'Drop downs'!$B$3)</f>
        <v>0</v>
      </c>
      <c r="F28" s="48">
        <f>SUMIFS(CurrentDeductible,PolicyYears,B28,OwnershipStatus,'Drop downs'!$B$3)</f>
        <v>0</v>
      </c>
      <c r="G28" s="57">
        <f>COUNTIFS(PolicyYears,B28,OtherDeductible,"&gt;0",OwnershipStatus,'Drop downs'!$B$3)</f>
        <v>0</v>
      </c>
      <c r="H28" s="48">
        <f>SUMIFS(OtherDeductible,PolicyYears,B28,OwnershipStatus,'Drop downs'!$B$3)</f>
        <v>0</v>
      </c>
      <c r="I28" s="45"/>
    </row>
    <row r="29" spans="1:9">
      <c r="A29" s="251"/>
      <c r="B29" s="54" t="s">
        <v>89</v>
      </c>
      <c r="C29" s="55">
        <f>COUNTIFS(OwnershipStatus,'Drop downs'!$B$3,PolicyYears,B29)</f>
        <v>0</v>
      </c>
      <c r="D29" s="56">
        <f>SUMIFS(Claim_Total,PolicyYears,B29,OwnershipStatus,'Drop downs'!$B$3)</f>
        <v>0</v>
      </c>
      <c r="E29" s="57">
        <f>COUNTIFS(PolicyYears,B29,CurrentDeductible,"&gt;0",OwnershipStatus,'Drop downs'!$B$3)</f>
        <v>0</v>
      </c>
      <c r="F29" s="48">
        <f>SUMIFS(CurrentDeductible,PolicyYears,B29,OwnershipStatus,'Drop downs'!$B$3)</f>
        <v>0</v>
      </c>
      <c r="G29" s="57">
        <f>COUNTIFS(PolicyYears,B29,OtherDeductible,"&gt;0",OwnershipStatus,'Drop downs'!$B$3)</f>
        <v>0</v>
      </c>
      <c r="H29" s="48">
        <f>SUMIFS(OtherDeductible,PolicyYears,B29,OwnershipStatus,'Drop downs'!$B$3)</f>
        <v>0</v>
      </c>
      <c r="I29" s="45"/>
    </row>
    <row r="30" spans="1:9">
      <c r="A30" s="251"/>
      <c r="B30" s="54" t="s">
        <v>90</v>
      </c>
      <c r="C30" s="55">
        <f>COUNTIFS(OwnershipStatus,'Drop downs'!$B$3,PolicyYears,B30)</f>
        <v>0</v>
      </c>
      <c r="D30" s="56">
        <f>SUMIFS(Claim_Total,PolicyYears,B30,OwnershipStatus,'Drop downs'!$B$3)</f>
        <v>0</v>
      </c>
      <c r="E30" s="57">
        <f>COUNTIFS(PolicyYears,B30,CurrentDeductible,"&gt;0",OwnershipStatus,'Drop downs'!$B$3)</f>
        <v>0</v>
      </c>
      <c r="F30" s="48">
        <f>SUMIFS(CurrentDeductible,PolicyYears,B30,OwnershipStatus,'Drop downs'!$B$3)</f>
        <v>0</v>
      </c>
      <c r="G30" s="57">
        <f>COUNTIFS(PolicyYears,B30,OtherDeductible,"&gt;0",OwnershipStatus,'Drop downs'!$B$3)</f>
        <v>0</v>
      </c>
      <c r="H30" s="48">
        <f>SUMIFS(OtherDeductible,PolicyYears,B30,OwnershipStatus,'Drop downs'!$B$3)</f>
        <v>0</v>
      </c>
      <c r="I30" s="45"/>
    </row>
    <row r="31" spans="1:9" ht="16.5" customHeight="1">
      <c r="A31" s="251"/>
      <c r="B31" s="54" t="s">
        <v>91</v>
      </c>
      <c r="C31" s="55">
        <f>COUNTIFS(OwnershipStatus,'Drop downs'!$B$3,PolicyYears,B31)</f>
        <v>0</v>
      </c>
      <c r="D31" s="56" cm="1">
        <f t="array" ref="D31">SUMIFS(Claim_Total,PolicyYears,B31,OwnershipStatus,'Drop downs'!$B$3)</f>
        <v>0</v>
      </c>
      <c r="E31" s="57">
        <f>COUNTIFS(PolicyYears,B31,CurrentDeductible,"&gt;0",OwnershipStatus,'Drop downs'!$B$3)</f>
        <v>0</v>
      </c>
      <c r="F31" s="48">
        <f>SUMIFS(CurrentDeductible,PolicyYears,B31,OwnershipStatus,'Drop downs'!$B$3)</f>
        <v>0</v>
      </c>
      <c r="G31" s="57">
        <f>COUNTIFS(PolicyYears,B31,OtherDeductible,"&gt;0",OwnershipStatus,'Drop downs'!$B$3)</f>
        <v>0</v>
      </c>
      <c r="H31" s="48">
        <f>SUMIFS(OtherDeductible,PolicyYears,B31,OwnershipStatus,'Drop downs'!$B$3)</f>
        <v>0</v>
      </c>
      <c r="I31" s="45"/>
    </row>
    <row r="32" spans="1:9" ht="16.5" thickBot="1">
      <c r="A32" s="251"/>
      <c r="B32" s="166" t="s">
        <v>11</v>
      </c>
      <c r="C32" s="38">
        <f t="shared" ref="C32:H32" si="12">SUM(C25:C31)</f>
        <v>0</v>
      </c>
      <c r="D32" s="39">
        <f t="shared" si="12"/>
        <v>0</v>
      </c>
      <c r="E32" s="38">
        <f t="shared" si="12"/>
        <v>0</v>
      </c>
      <c r="F32" s="39">
        <f t="shared" si="12"/>
        <v>0</v>
      </c>
      <c r="G32" s="38">
        <f t="shared" si="12"/>
        <v>0</v>
      </c>
      <c r="H32" s="39">
        <f t="shared" si="12"/>
        <v>0</v>
      </c>
      <c r="I32" s="45"/>
    </row>
    <row r="33" spans="1:9">
      <c r="A33" s="251"/>
      <c r="B33" s="58" t="str">
        <f>COUNTIF(B25:B31,"*")&amp;"-year AAL"</f>
        <v>7-year AAL</v>
      </c>
      <c r="C33" s="59">
        <f t="shared" ref="C33:H33" si="13">C32/COUNTIF($B$25:$B$31,"*")</f>
        <v>0</v>
      </c>
      <c r="D33" s="60">
        <f t="shared" si="13"/>
        <v>0</v>
      </c>
      <c r="E33" s="59">
        <f t="shared" si="13"/>
        <v>0</v>
      </c>
      <c r="F33" s="60">
        <f t="shared" si="13"/>
        <v>0</v>
      </c>
      <c r="G33" s="59">
        <f t="shared" si="13"/>
        <v>0</v>
      </c>
      <c r="H33" s="221">
        <f t="shared" si="13"/>
        <v>0</v>
      </c>
      <c r="I33" s="45"/>
    </row>
    <row r="34" spans="1:9" ht="16.5" thickBot="1">
      <c r="A34" s="251"/>
      <c r="B34" s="61" t="str">
        <f>'Drop downs'!G2&amp;"-year AAL"</f>
        <v>3-year AAL</v>
      </c>
      <c r="C34" s="62">
        <f ca="1">AVERAGE(OFFSET(C24,COUNT(C25:C31),0,-'Drop downs'!$G$2))</f>
        <v>0</v>
      </c>
      <c r="D34" s="63">
        <f ca="1">AVERAGE(OFFSET(D24,COUNT(D25:D31),0,-'Drop downs'!$G$2))</f>
        <v>0</v>
      </c>
      <c r="E34" s="62">
        <f ca="1">AVERAGE(OFFSET(E24,COUNT(E25:E31),0,-'Drop downs'!$G$2))</f>
        <v>0</v>
      </c>
      <c r="F34" s="63">
        <f ca="1">AVERAGE(OFFSET(F24,COUNT(F25:F31),0,-'Drop downs'!$G$2))</f>
        <v>0</v>
      </c>
      <c r="G34" s="62">
        <f ca="1">AVERAGE(OFFSET(G24,COUNT(G25:G31),0,-'Drop downs'!$G$2))</f>
        <v>0</v>
      </c>
      <c r="H34" s="52">
        <f ca="1">AVERAGE(OFFSET(H24,COUNT(H25:H31),0,-'Drop downs'!$G$2))</f>
        <v>0</v>
      </c>
      <c r="I34" s="45"/>
    </row>
    <row r="35" spans="1:9">
      <c r="D35" s="64"/>
      <c r="E35" s="64"/>
      <c r="F35" s="64"/>
      <c r="G35" s="64"/>
      <c r="H35" s="64"/>
      <c r="I35" s="45"/>
    </row>
    <row r="36" spans="1:9" ht="16.5" thickBot="1">
      <c r="C36" s="44"/>
      <c r="D36" s="44"/>
      <c r="G36" s="45"/>
      <c r="H36" s="45"/>
      <c r="I36" s="45"/>
    </row>
    <row r="37" spans="1:9" ht="16.5" thickBot="1">
      <c r="C37" s="239" t="s">
        <v>79</v>
      </c>
      <c r="D37" s="240"/>
      <c r="E37" s="240"/>
      <c r="F37" s="240"/>
      <c r="G37" s="241"/>
      <c r="H37" s="45"/>
      <c r="I37" s="45"/>
    </row>
    <row r="38" spans="1:9" ht="15.75" customHeight="1">
      <c r="A38" s="247" t="s">
        <v>67</v>
      </c>
      <c r="B38" s="66" t="s">
        <v>13</v>
      </c>
      <c r="C38" s="66" t="s">
        <v>41</v>
      </c>
      <c r="D38" s="66" t="s">
        <v>101</v>
      </c>
      <c r="E38" s="66" t="s">
        <v>42</v>
      </c>
      <c r="F38" s="66" t="s">
        <v>80</v>
      </c>
      <c r="G38" s="37" t="s">
        <v>18</v>
      </c>
      <c r="H38" s="45"/>
      <c r="I38" s="45"/>
    </row>
    <row r="39" spans="1:9" ht="21.75" customHeight="1">
      <c r="A39" s="248"/>
      <c r="B39" s="67" t="s">
        <v>6</v>
      </c>
      <c r="C39" s="47">
        <f>SUMIFS(CurrentDeductible,OwnershipStatus,'Drop downs'!$B$3,Table1[Loss Classification],'Loss Summary Analysis'!$C$38)</f>
        <v>0</v>
      </c>
      <c r="D39" s="47">
        <f>SUMIFS(CurrentDeductible,OwnershipStatus,'Drop downs'!$B$3,Table1[Loss Classification],'Loss Summary Analysis'!$D$38)</f>
        <v>0</v>
      </c>
      <c r="E39" s="47">
        <f>SUMIFS(CurrentDeductible,OwnershipStatus,'Drop downs'!$B$3,Table1[Loss Classification],'Loss Summary Analysis'!$E$38)</f>
        <v>0</v>
      </c>
      <c r="F39" s="47">
        <f>G39-E39-D39-C39</f>
        <v>0</v>
      </c>
      <c r="G39" s="48">
        <f>SUMIFS(CurrentDeductible,OwnershipStatus,'Drop downs'!$B$3)</f>
        <v>0</v>
      </c>
      <c r="H39" s="45"/>
      <c r="I39" s="45"/>
    </row>
    <row r="40" spans="1:9" ht="21.75" customHeight="1">
      <c r="A40" s="248"/>
      <c r="B40" s="41" t="s">
        <v>54</v>
      </c>
      <c r="C40" s="174" t="e">
        <f>C39/$G$39</f>
        <v>#DIV/0!</v>
      </c>
      <c r="D40" s="174" t="e">
        <f>D39/$G$39</f>
        <v>#DIV/0!</v>
      </c>
      <c r="E40" s="174" t="e">
        <f>E39/$G$39</f>
        <v>#DIV/0!</v>
      </c>
      <c r="F40" s="174" t="e">
        <f>F39/$G$39</f>
        <v>#DIV/0!</v>
      </c>
      <c r="G40" s="175"/>
      <c r="H40" s="45"/>
      <c r="I40" s="45"/>
    </row>
    <row r="41" spans="1:9" ht="21.75" customHeight="1" thickBot="1">
      <c r="A41" s="249"/>
      <c r="B41" s="68" t="str">
        <f>COUNTIF(B12:B16,"*")&amp;"-year AAL"</f>
        <v>5-year AAL</v>
      </c>
      <c r="C41" s="51" t="e">
        <f>C40/COUNTIF($B$25:$B$31,"*")</f>
        <v>#DIV/0!</v>
      </c>
      <c r="D41" s="51" t="e">
        <f>D40/COUNTIF($B$25:$B$31,"*")</f>
        <v>#DIV/0!</v>
      </c>
      <c r="E41" s="51" t="e">
        <f>E40/COUNTIF($B$25:$B$31,"*")</f>
        <v>#DIV/0!</v>
      </c>
      <c r="F41" s="51" t="e">
        <f>F40/COUNTIF($B$25:$B$31,"*")</f>
        <v>#DIV/0!</v>
      </c>
      <c r="G41" s="52">
        <f>G40/COUNTIF($B$25:$B$31,"*")</f>
        <v>0</v>
      </c>
      <c r="H41" s="45"/>
      <c r="I41" s="45"/>
    </row>
    <row r="42" spans="1:9">
      <c r="C42" s="44"/>
      <c r="D42" s="44"/>
      <c r="H42" s="45"/>
      <c r="I42" s="45"/>
    </row>
    <row r="43" spans="1:9">
      <c r="C43" s="44"/>
      <c r="D43" s="44"/>
      <c r="H43" s="45"/>
      <c r="I43" s="45"/>
    </row>
    <row r="44" spans="1:9">
      <c r="D44" s="44"/>
      <c r="I44" s="45"/>
    </row>
  </sheetData>
  <mergeCells count="19">
    <mergeCell ref="A38:A41"/>
    <mergeCell ref="C10:D10"/>
    <mergeCell ref="E23:F23"/>
    <mergeCell ref="G23:H23"/>
    <mergeCell ref="E10:F10"/>
    <mergeCell ref="G10:H10"/>
    <mergeCell ref="A11:A20"/>
    <mergeCell ref="A24:A34"/>
    <mergeCell ref="G5:H5"/>
    <mergeCell ref="G6:H6"/>
    <mergeCell ref="G7:H7"/>
    <mergeCell ref="C37:G37"/>
    <mergeCell ref="A1:D1"/>
    <mergeCell ref="C23:D23"/>
    <mergeCell ref="E4:F4"/>
    <mergeCell ref="E5:F5"/>
    <mergeCell ref="E6:F6"/>
    <mergeCell ref="E7:F7"/>
    <mergeCell ref="G4:H4"/>
  </mergeCells>
  <conditionalFormatting sqref="A1:A2">
    <cfRule type="containsBlanks" dxfId="11" priority="31">
      <formula>LEN(TRIM(A1))=0</formula>
    </cfRule>
  </conditionalFormatting>
  <conditionalFormatting sqref="B39:G41 B12:H20 B25:H34">
    <cfRule type="containsText" dxfId="0" priority="6" operator="containsText" text="Delete">
      <formula>NOT(ISERROR(SEARCH("Delete",B12)))</formula>
    </cfRule>
  </conditionalFormatting>
  <pageMargins left="0.25" right="0.25" top="0.75" bottom="0.75" header="0.3" footer="0.3"/>
  <pageSetup scale="50" orientation="landscape" horizontalDpi="1200" verticalDpi="1200"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497A108F-79FC-42E2-8543-52D53DDBB0ED}">
          <x14:formula1>
            <xm:f>'Drop downs'!$D$2:$D$11</xm:f>
          </x14:formula1>
          <xm:sqref>C38:E38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60B42-AD5E-4B35-A13C-A141E25044BA}">
  <sheetPr>
    <pageSetUpPr fitToPage="1"/>
  </sheetPr>
  <dimension ref="A1:I43"/>
  <sheetViews>
    <sheetView topLeftCell="A8" zoomScale="115" zoomScaleNormal="115" workbookViewId="0">
      <selection activeCell="D19" sqref="D19"/>
    </sheetView>
  </sheetViews>
  <sheetFormatPr defaultRowHeight="15.75"/>
  <cols>
    <col min="1" max="1" width="25.28515625" style="45" customWidth="1"/>
    <col min="2" max="2" width="20.85546875" style="45" customWidth="1"/>
    <col min="3" max="3" width="22.5703125" style="45" customWidth="1"/>
    <col min="4" max="4" width="25.85546875" style="45" customWidth="1"/>
    <col min="5" max="6" width="25.85546875" style="44" customWidth="1"/>
    <col min="7" max="7" width="30" style="44" customWidth="1"/>
    <col min="8" max="8" width="31.28515625" style="44" customWidth="1"/>
    <col min="9" max="9" width="25.85546875" style="44" customWidth="1"/>
    <col min="10" max="10" width="21.85546875" style="45" customWidth="1"/>
    <col min="11" max="11" width="9.140625" style="45"/>
    <col min="12" max="12" width="17.140625" style="45" customWidth="1"/>
    <col min="13" max="16384" width="9.140625" style="45"/>
  </cols>
  <sheetData>
    <row r="1" spans="1:9" ht="37.5" customHeight="1">
      <c r="A1" s="256" t="str">
        <f>IF('Loss Summary Analysis'!A1=ISBLANK(0),"Client Name",'Loss Summary Analysis'!A1)</f>
        <v>Client Name</v>
      </c>
      <c r="B1" s="256"/>
      <c r="C1" s="256"/>
      <c r="D1" s="256"/>
    </row>
    <row r="2" spans="1:9" ht="18.75" customHeight="1">
      <c r="A2" s="45" t="s">
        <v>53</v>
      </c>
      <c r="B2" s="43"/>
      <c r="C2" s="43"/>
      <c r="D2" s="43"/>
    </row>
    <row r="3" spans="1:9" ht="18.75" customHeight="1" thickBot="1"/>
    <row r="4" spans="1:9">
      <c r="D4" s="40" t="str">
        <f>'Claim Details'!T7</f>
        <v>Loss Classification</v>
      </c>
      <c r="E4" s="245" t="s">
        <v>79</v>
      </c>
      <c r="F4" s="245"/>
      <c r="G4" s="245" t="s">
        <v>64</v>
      </c>
      <c r="H4" s="246"/>
    </row>
    <row r="5" spans="1:9">
      <c r="D5" s="46" t="str">
        <f>'Claim Details'!T8</f>
        <v>AOP</v>
      </c>
      <c r="E5" s="235">
        <f>'Plus Agg Analysis'!H4</f>
        <v>0</v>
      </c>
      <c r="F5" s="235"/>
      <c r="G5" s="235">
        <f>'Plus Agg Analysis'!H54</f>
        <v>0</v>
      </c>
      <c r="H5" s="236"/>
    </row>
    <row r="6" spans="1:9">
      <c r="D6" s="46" t="str">
        <f>IF('Claim Details'!T9=0,"",'Claim Details'!T9)</f>
        <v>Windstorm</v>
      </c>
      <c r="E6" s="235">
        <f>'Plus Agg Analysis'!I4</f>
        <v>0</v>
      </c>
      <c r="F6" s="235"/>
      <c r="G6" s="252">
        <f>'Plus Agg Analysis'!I54</f>
        <v>0</v>
      </c>
      <c r="H6" s="236"/>
    </row>
    <row r="7" spans="1:9">
      <c r="D7" s="46" t="str">
        <f>IF('Claim Details'!T10=0,"",'Claim Details'!T10)</f>
        <v>Named Windstorm</v>
      </c>
      <c r="E7" s="252">
        <f>'Plus Agg Analysis'!J4</f>
        <v>0</v>
      </c>
      <c r="F7" s="252"/>
      <c r="G7" s="252">
        <f>'Plus Agg Analysis'!J54</f>
        <v>0</v>
      </c>
      <c r="H7" s="257"/>
    </row>
    <row r="8" spans="1:9" ht="16.5" thickBot="1">
      <c r="D8" s="50" t="s">
        <v>100</v>
      </c>
      <c r="E8" s="258">
        <f>'Plus Agg Analysis'!K4</f>
        <v>0</v>
      </c>
      <c r="F8" s="258"/>
      <c r="G8" s="258">
        <f>'Plus Agg Analysis'!K54</f>
        <v>0</v>
      </c>
      <c r="H8" s="259"/>
    </row>
    <row r="9" spans="1:9">
      <c r="D9" s="44"/>
      <c r="I9" s="45"/>
    </row>
    <row r="10" spans="1:9" ht="16.5" thickBot="1">
      <c r="D10" s="44"/>
      <c r="I10" s="45"/>
    </row>
    <row r="11" spans="1:9" ht="16.5" thickBot="1">
      <c r="C11" s="243" t="s">
        <v>65</v>
      </c>
      <c r="D11" s="244"/>
      <c r="E11" s="243" t="s">
        <v>82</v>
      </c>
      <c r="F11" s="244"/>
      <c r="G11" s="243" t="s">
        <v>66</v>
      </c>
      <c r="H11" s="244"/>
      <c r="I11" s="45"/>
    </row>
    <row r="12" spans="1:9" s="53" customFormat="1" ht="19.5" customHeight="1">
      <c r="A12" s="253" t="s">
        <v>87</v>
      </c>
      <c r="B12" s="65" t="s">
        <v>13</v>
      </c>
      <c r="C12" s="36" t="s">
        <v>12</v>
      </c>
      <c r="D12" s="37" t="s">
        <v>18</v>
      </c>
      <c r="E12" s="36" t="s">
        <v>12</v>
      </c>
      <c r="F12" s="37" t="s">
        <v>14</v>
      </c>
      <c r="G12" s="36" t="s">
        <v>12</v>
      </c>
      <c r="H12" s="37" t="s">
        <v>6</v>
      </c>
    </row>
    <row r="13" spans="1:9">
      <c r="A13" s="254"/>
      <c r="B13" s="214" t="s">
        <v>68</v>
      </c>
      <c r="C13" s="55">
        <f>COUNTIF('Claim Details'!$A$17:$A$506,B13)</f>
        <v>0</v>
      </c>
      <c r="D13" s="56">
        <f t="shared" ref="D13:D15" si="0">SUMIF(PolicyYears,B13,Claim_Total)</f>
        <v>0</v>
      </c>
      <c r="E13" s="57">
        <f>COUNTIFS('Plus Agg Analysis'!$A$8:$A$49,B13,'Plus Agg Analysis'!$K$8:$K$49,"&gt;0")</f>
        <v>0</v>
      </c>
      <c r="F13" s="48">
        <f>SUMIF('Plus Agg Analysis'!$A$8:$A$49,B13,'Plus Agg Analysis'!$K$8:$K$49)</f>
        <v>0</v>
      </c>
      <c r="G13" s="57">
        <f>COUNTIFS('Plus Agg Analysis'!$A$58:$A$99,B13,'Plus Agg Analysis'!$K$58:$K$99,"&gt;0")</f>
        <v>0</v>
      </c>
      <c r="H13" s="48">
        <f>SUMIF('Plus Agg Analysis'!$A$58:$A$99,B13,'Plus Agg Analysis'!$K$58:$K$99)</f>
        <v>0</v>
      </c>
      <c r="I13" s="45"/>
    </row>
    <row r="14" spans="1:9">
      <c r="A14" s="254"/>
      <c r="B14" s="214" t="s">
        <v>71</v>
      </c>
      <c r="C14" s="55">
        <f>COUNTIF('Claim Details'!$A$17:$A$506,B14)</f>
        <v>0</v>
      </c>
      <c r="D14" s="56">
        <f t="shared" si="0"/>
        <v>0</v>
      </c>
      <c r="E14" s="57">
        <f>COUNTIFS('Plus Agg Analysis'!$A$8:$A$49,B14,'Plus Agg Analysis'!$K$8:$K$49,"&gt;0")</f>
        <v>0</v>
      </c>
      <c r="F14" s="48">
        <f>SUMIF('Plus Agg Analysis'!$A$8:$A$49,B14,'Plus Agg Analysis'!$K$8:$K$49)</f>
        <v>0</v>
      </c>
      <c r="G14" s="57">
        <f>COUNTIFS('Plus Agg Analysis'!$A$58:$A$99,B14,'Plus Agg Analysis'!$K$58:$K$99,"&gt;0")</f>
        <v>0</v>
      </c>
      <c r="H14" s="48">
        <f>SUMIF('Plus Agg Analysis'!$A$58:$A$99,B14,'Plus Agg Analysis'!$K$58:$K$99)</f>
        <v>0</v>
      </c>
      <c r="I14" s="45"/>
    </row>
    <row r="15" spans="1:9">
      <c r="A15" s="254"/>
      <c r="B15" s="214" t="s">
        <v>88</v>
      </c>
      <c r="C15" s="55">
        <f>COUNTIF('Claim Details'!$A$17:$A$506,B15)</f>
        <v>0</v>
      </c>
      <c r="D15" s="56">
        <f t="shared" si="0"/>
        <v>0</v>
      </c>
      <c r="E15" s="57">
        <f>COUNTIFS('Plus Agg Analysis'!$A$8:$A$49,B15,'Plus Agg Analysis'!$K$8:$K$49,"&gt;0")</f>
        <v>0</v>
      </c>
      <c r="F15" s="48">
        <f>SUMIF('Plus Agg Analysis'!$A$8:$A$49,B15,'Plus Agg Analysis'!$K$8:$K$49)</f>
        <v>0</v>
      </c>
      <c r="G15" s="57">
        <f>COUNTIFS('Plus Agg Analysis'!$A$58:$A$99,B15,'Plus Agg Analysis'!$K$58:$K$99,"&gt;0")</f>
        <v>0</v>
      </c>
      <c r="H15" s="48">
        <f>SUMIF('Plus Agg Analysis'!$A$58:$A$99,B15,'Plus Agg Analysis'!$K$58:$K$99)</f>
        <v>0</v>
      </c>
      <c r="I15" s="45"/>
    </row>
    <row r="16" spans="1:9">
      <c r="A16" s="254"/>
      <c r="B16" s="214" t="s">
        <v>89</v>
      </c>
      <c r="C16" s="55">
        <f>IF(B16=0,"",COUNTIF(PolicyYears,B16))</f>
        <v>0</v>
      </c>
      <c r="D16" s="56">
        <f>IF(B16=0,"",SUMIF(PolicyYears,B16,Claim_Total))</f>
        <v>0</v>
      </c>
      <c r="E16" s="57">
        <f>COUNTIFS('Plus Agg Analysis'!$A$8:$A$49,B16,'Plus Agg Analysis'!$K$8:$K$49,"&gt;0")</f>
        <v>0</v>
      </c>
      <c r="F16" s="48">
        <f>SUMIF('Plus Agg Analysis'!$A$8:$A$49,B16,'Plus Agg Analysis'!$K$8:$K$49)</f>
        <v>0</v>
      </c>
      <c r="G16" s="57">
        <f>COUNTIFS('Plus Agg Analysis'!$A$58:$A$99,B16,'Plus Agg Analysis'!$K$58:$K$99,"&gt;0")</f>
        <v>0</v>
      </c>
      <c r="H16" s="48">
        <f>SUMIF('Plus Agg Analysis'!$A$58:$A$99,B16,'Plus Agg Analysis'!$K$58:$K$99)</f>
        <v>0</v>
      </c>
      <c r="I16" s="45"/>
    </row>
    <row r="17" spans="1:9">
      <c r="A17" s="254"/>
      <c r="B17" s="218" t="s">
        <v>90</v>
      </c>
      <c r="C17" s="55">
        <f>IF(B17=0,"",COUNTIF(PolicyYears,B17))</f>
        <v>0</v>
      </c>
      <c r="D17" s="56">
        <f>IF(B17=0,"",SUMIF(PolicyYears,B17,Claim_Total))</f>
        <v>0</v>
      </c>
      <c r="E17" s="57">
        <f>COUNTIFS('Plus Agg Analysis'!$A$8:$A$49,B17,'Plus Agg Analysis'!$K$8:$K$49,"&gt;0")</f>
        <v>0</v>
      </c>
      <c r="F17" s="48">
        <f>SUMIF('Plus Agg Analysis'!$A$8:$A$49,B17,'Plus Agg Analysis'!$K$8:$K$49)</f>
        <v>0</v>
      </c>
      <c r="G17" s="57">
        <f>COUNTIFS('Plus Agg Analysis'!$A$58:$A$99,B17,'Plus Agg Analysis'!$K$58:$K$99,"&gt;0")</f>
        <v>0</v>
      </c>
      <c r="H17" s="48">
        <f>SUMIF('Plus Agg Analysis'!$A$58:$A$99,B17,'Plus Agg Analysis'!$K$58:$K$99)</f>
        <v>0</v>
      </c>
      <c r="I17" s="45"/>
    </row>
    <row r="18" spans="1:9" ht="16.5" thickBot="1">
      <c r="A18" s="254"/>
      <c r="B18" s="215" t="s">
        <v>11</v>
      </c>
      <c r="C18" s="38">
        <f t="shared" ref="C18:H18" si="1">SUM(C13:C17)</f>
        <v>0</v>
      </c>
      <c r="D18" s="39">
        <f t="shared" si="1"/>
        <v>0</v>
      </c>
      <c r="E18" s="38">
        <f t="shared" si="1"/>
        <v>0</v>
      </c>
      <c r="F18" s="39">
        <f t="shared" si="1"/>
        <v>0</v>
      </c>
      <c r="G18" s="38">
        <f t="shared" si="1"/>
        <v>0</v>
      </c>
      <c r="H18" s="39">
        <f t="shared" si="1"/>
        <v>0</v>
      </c>
      <c r="I18" s="45"/>
    </row>
    <row r="19" spans="1:9">
      <c r="A19" s="254"/>
      <c r="B19" s="216" t="str">
        <f>COUNTIF(B13:B17,"*")&amp;"-year AAL"</f>
        <v>5-year AAL</v>
      </c>
      <c r="C19" s="59">
        <f t="shared" ref="C19:H19" si="2">C18/COUNTIF($B$13:$B$17,"*")</f>
        <v>0</v>
      </c>
      <c r="D19" s="60">
        <f t="shared" si="2"/>
        <v>0</v>
      </c>
      <c r="E19" s="59">
        <f t="shared" si="2"/>
        <v>0</v>
      </c>
      <c r="F19" s="60">
        <f t="shared" si="2"/>
        <v>0</v>
      </c>
      <c r="G19" s="59">
        <f t="shared" si="2"/>
        <v>0</v>
      </c>
      <c r="H19" s="221">
        <f t="shared" si="2"/>
        <v>0</v>
      </c>
      <c r="I19" s="45"/>
    </row>
    <row r="20" spans="1:9" ht="16.5" thickBot="1">
      <c r="A20" s="255"/>
      <c r="B20" s="217" t="str">
        <f>'Drop downs'!G2&amp;"-year AAL"</f>
        <v>3-year AAL</v>
      </c>
      <c r="C20" s="62">
        <f ca="1">AVERAGE(OFFSET(C12,COUNT(C13:C17),0,-'Drop downs'!$G$2))</f>
        <v>0</v>
      </c>
      <c r="D20" s="63">
        <f ca="1">AVERAGE(OFFSET(D12,COUNT(D13:D17),0,-'Drop downs'!$G$2))</f>
        <v>0</v>
      </c>
      <c r="E20" s="62">
        <f ca="1">AVERAGE(OFFSET(E12,COUNT(E13:E17),0,-'Drop downs'!$G$2))</f>
        <v>0</v>
      </c>
      <c r="F20" s="63">
        <f ca="1">AVERAGE(OFFSET(F12,COUNT(F13:F17),0,-'Drop downs'!$G$2))</f>
        <v>0</v>
      </c>
      <c r="G20" s="62">
        <f ca="1">AVERAGE(OFFSET(G12,COUNT(G13:G17),0,-'Drop downs'!$G$2))</f>
        <v>0</v>
      </c>
      <c r="H20" s="52">
        <f ca="1">AVERAGE(OFFSET(H12,COUNT(H13:H17),0,-'Drop downs'!$G$2))</f>
        <v>0</v>
      </c>
      <c r="I20" s="45"/>
    </row>
    <row r="21" spans="1:9">
      <c r="B21" s="53"/>
      <c r="D21" s="44"/>
      <c r="I21" s="45"/>
    </row>
    <row r="22" spans="1:9" ht="16.5" thickBot="1">
      <c r="D22" s="44"/>
      <c r="I22" s="45"/>
    </row>
    <row r="23" spans="1:9" ht="16.5" thickBot="1">
      <c r="C23" s="243" t="s">
        <v>65</v>
      </c>
      <c r="D23" s="244"/>
      <c r="E23" s="243" t="s">
        <v>82</v>
      </c>
      <c r="F23" s="244"/>
      <c r="G23" s="243" t="s">
        <v>66</v>
      </c>
      <c r="H23" s="244"/>
      <c r="I23" s="45"/>
    </row>
    <row r="24" spans="1:9" s="53" customFormat="1" ht="19.5" customHeight="1">
      <c r="A24" s="253" t="s">
        <v>86</v>
      </c>
      <c r="B24" s="65" t="s">
        <v>13</v>
      </c>
      <c r="C24" s="36" t="s">
        <v>12</v>
      </c>
      <c r="D24" s="37" t="s">
        <v>18</v>
      </c>
      <c r="E24" s="36" t="s">
        <v>12</v>
      </c>
      <c r="F24" s="37" t="s">
        <v>14</v>
      </c>
      <c r="G24" s="36" t="s">
        <v>12</v>
      </c>
      <c r="H24" s="37" t="s">
        <v>6</v>
      </c>
    </row>
    <row r="25" spans="1:9" ht="14.25" customHeight="1">
      <c r="A25" s="254"/>
      <c r="B25" s="214" t="s">
        <v>31</v>
      </c>
      <c r="C25" s="55">
        <f>COUNTIFS(OwnershipStatus,'Drop downs'!$B$3,PolicyYears,B25)</f>
        <v>0</v>
      </c>
      <c r="D25" s="56">
        <f>SUMIFS(Claim_Total,PolicyYears,B25,OwnershipStatus,'Drop downs'!$B$3)</f>
        <v>0</v>
      </c>
      <c r="E25" s="57">
        <f>COUNTIFS('Plus Agg Analysis'!$A$8:$A$49,B25,'Plus Agg Analysis'!$K$8:$K$49,"&gt;0",'Plus Agg Analysis'!$C$8:$C$49,'Drop downs'!$B$3)</f>
        <v>0</v>
      </c>
      <c r="F25" s="48">
        <f>SUMIFS('Plus Agg Analysis'!$K$8:$K$49,'Plus Agg Analysis'!$A$8:$A$49,'Loss Summary Analysis'!B25,'Plus Agg Analysis'!$C$8:$C$49,'Drop downs'!$B$3)</f>
        <v>0</v>
      </c>
      <c r="G25" s="57">
        <f>COUNTIFS(PolicyYears,B25,OtherDeductible,"&gt;0",OwnershipStatus,'Drop downs'!$B$3)</f>
        <v>0</v>
      </c>
      <c r="H25" s="48">
        <f>SUMIFS('Plus Agg Analysis'!$K$58:$K$99,'Plus Agg Analysis'!$A$58:$A$99,'Loss Summary Analysis'!B25,'Plus Agg Analysis'!$C$58:$C$99,'Drop downs'!$B$3)</f>
        <v>0</v>
      </c>
      <c r="I25" s="45"/>
    </row>
    <row r="26" spans="1:9" ht="14.25" customHeight="1">
      <c r="A26" s="254"/>
      <c r="B26" s="214" t="s">
        <v>68</v>
      </c>
      <c r="C26" s="55">
        <f>COUNTIFS(OwnershipStatus,'Drop downs'!$B$3,PolicyYears,B26)</f>
        <v>0</v>
      </c>
      <c r="D26" s="56">
        <f>SUMIFS(Claim_Total,PolicyYears,B26,OwnershipStatus,'Drop downs'!$B$3)</f>
        <v>0</v>
      </c>
      <c r="E26" s="57">
        <f>COUNTIFS('Plus Agg Analysis'!$A$8:$A$49,B26,'Plus Agg Analysis'!$K$8:$K$49,"&gt;0",'Plus Agg Analysis'!$C$8:$C$49,'Drop downs'!$B$3)</f>
        <v>0</v>
      </c>
      <c r="F26" s="48">
        <f>SUMIFS('Plus Agg Analysis'!$K$8:$K$49,'Plus Agg Analysis'!$A$8:$A$49,'Loss Summary Analysis'!B27,'Plus Agg Analysis'!$C$8:$C$49,'Drop downs'!$B$3)</f>
        <v>0</v>
      </c>
      <c r="G26" s="57">
        <f>COUNTIFS(PolicyYears,B26,OtherDeductible,"&gt;0",OwnershipStatus,'Drop downs'!$B$3)</f>
        <v>0</v>
      </c>
      <c r="H26" s="48">
        <f>SUMIFS('Plus Agg Analysis'!$K$58:$K$99,'Plus Agg Analysis'!$A$58:$A$99,'Loss Summary Analysis'!B27,'Plus Agg Analysis'!$C$58:$C$99,'Drop downs'!$B$3)</f>
        <v>0</v>
      </c>
      <c r="I26" s="45"/>
    </row>
    <row r="27" spans="1:9" ht="14.25" customHeight="1">
      <c r="A27" s="254"/>
      <c r="B27" s="214" t="s">
        <v>71</v>
      </c>
      <c r="C27" s="55">
        <f>IF(B27=0,"",COUNTIFS(OwnershipStatus,'Drop downs'!$B$3,PolicyYears,B27))</f>
        <v>0</v>
      </c>
      <c r="D27" s="56">
        <f>IF(B27=0,"",SUMIFS(Claim_Total,PolicyYears,B27,OwnershipStatus,'Drop downs'!$B$3))</f>
        <v>0</v>
      </c>
      <c r="E27" s="57">
        <f>COUNTIFS('Plus Agg Analysis'!$A$8:$A$49,B27,'Plus Agg Analysis'!$K$8:$K$49,"&gt;0",'Plus Agg Analysis'!$C$8:$C$49,'Drop downs'!$B$3)</f>
        <v>0</v>
      </c>
      <c r="F27" s="48">
        <f>SUMIFS('Plus Agg Analysis'!$K$8:$K$49,'Plus Agg Analysis'!$A$8:$A$49,'Loss Summary Analysis'!B28,'Plus Agg Analysis'!$C$8:$C$49,'Drop downs'!$B$3)</f>
        <v>0</v>
      </c>
      <c r="G27" s="57">
        <f>IF(B27=0,"",COUNTIFS(PolicyYears,B27,OtherDeductible,"&gt;0",OwnershipStatus,'Drop downs'!$B$3))</f>
        <v>0</v>
      </c>
      <c r="H27" s="48">
        <f>SUMIFS('Plus Agg Analysis'!$K$58:$K$99,'Plus Agg Analysis'!$A$58:$A$99,'Loss Summary Analysis'!B28,'Plus Agg Analysis'!$C$58:$C$99,'Drop downs'!$B$3)</f>
        <v>0</v>
      </c>
      <c r="I27" s="45"/>
    </row>
    <row r="28" spans="1:9" ht="14.25" customHeight="1">
      <c r="A28" s="254"/>
      <c r="B28" s="214" t="s">
        <v>88</v>
      </c>
      <c r="C28" s="55">
        <f>IF(B28=0,"",COUNTIFS(OwnershipStatus,'Drop downs'!$B$3,PolicyYears,B28))</f>
        <v>0</v>
      </c>
      <c r="D28" s="56">
        <f>IF(B28=0,"",SUMIFS(Claim_Total,PolicyYears,B28,OwnershipStatus,'Drop downs'!$B$3))</f>
        <v>0</v>
      </c>
      <c r="E28" s="57">
        <f>COUNTIFS('Plus Agg Analysis'!$A$8:$A$49,B28,'Plus Agg Analysis'!$K$8:$K$49,"&gt;0",'Plus Agg Analysis'!$C$8:$C$49,'Drop downs'!$B$3)</f>
        <v>0</v>
      </c>
      <c r="F28" s="48">
        <f>SUMIFS('Plus Agg Analysis'!$K$8:$K$49,'Plus Agg Analysis'!$A$8:$A$49,'Loss Summary Analysis'!B29,'Plus Agg Analysis'!$C$8:$C$49,'Drop downs'!$B$3)</f>
        <v>0</v>
      </c>
      <c r="G28" s="57">
        <f>IF(B28=0,"",COUNTIFS(PolicyYears,B28,OtherDeductible,"&gt;0",OwnershipStatus,'Drop downs'!$B$3))</f>
        <v>0</v>
      </c>
      <c r="H28" s="48">
        <f>SUMIFS('Plus Agg Analysis'!$K$58:$K$99,'Plus Agg Analysis'!$A$58:$A$99,'Loss Summary Analysis'!B29,'Plus Agg Analysis'!$C$58:$C$99,'Drop downs'!$B$3)</f>
        <v>0</v>
      </c>
      <c r="I28" s="45"/>
    </row>
    <row r="29" spans="1:9" ht="14.25" customHeight="1">
      <c r="A29" s="254"/>
      <c r="B29" s="214" t="s">
        <v>89</v>
      </c>
      <c r="C29" s="55">
        <f>IF(B29=0,"",COUNTIFS(OwnershipStatus,'Drop downs'!$B$3,PolicyYears,B29))</f>
        <v>0</v>
      </c>
      <c r="D29" s="56">
        <f>IF(B29=0,"",SUMIFS(Claim_Total,PolicyYears,B29,OwnershipStatus,'Drop downs'!$B$3))</f>
        <v>0</v>
      </c>
      <c r="E29" s="57">
        <f>COUNTIFS('Plus Agg Analysis'!$A$8:$A$49,B29,'Plus Agg Analysis'!$K$8:$K$49,"&gt;0",'Plus Agg Analysis'!$C$8:$C$49,'Drop downs'!$B$3)</f>
        <v>0</v>
      </c>
      <c r="F29" s="48">
        <f>SUMIFS('Plus Agg Analysis'!$K$8:$K$49,'Plus Agg Analysis'!$A$8:$A$49,'Loss Summary Analysis'!B30,'Plus Agg Analysis'!$C$8:$C$49,'Drop downs'!$B$3)</f>
        <v>0</v>
      </c>
      <c r="G29" s="57">
        <f>IF(B29=0,"",COUNTIFS(PolicyYears,B29,OtherDeductible,"&gt;0",OwnershipStatus,'Drop downs'!$B$3))</f>
        <v>0</v>
      </c>
      <c r="H29" s="48">
        <f>SUMIFS('Plus Agg Analysis'!$K$58:$K$99,'Plus Agg Analysis'!$A$58:$A$99,'Loss Summary Analysis'!B30,'Plus Agg Analysis'!$C$58:$C$99,'Drop downs'!$B$3)</f>
        <v>0</v>
      </c>
      <c r="I29" s="45"/>
    </row>
    <row r="30" spans="1:9" ht="14.25" customHeight="1">
      <c r="A30" s="254"/>
      <c r="B30" s="214" t="s">
        <v>90</v>
      </c>
      <c r="C30" s="55">
        <f>IF(B30=0,"",COUNTIFS(OwnershipStatus,'Drop downs'!$B$3,PolicyYears,B30))</f>
        <v>0</v>
      </c>
      <c r="D30" s="56">
        <f>IF(B30=0,"",SUMIFS(Claim_Total,PolicyYears,B30,OwnershipStatus,'Drop downs'!$B$3))</f>
        <v>0</v>
      </c>
      <c r="E30" s="57">
        <f>COUNTIFS('Plus Agg Analysis'!$A$8:$A$49,B30,'Plus Agg Analysis'!$K$8:$K$49,"&gt;0",'Plus Agg Analysis'!$C$8:$C$49,'Drop downs'!$B$3)</f>
        <v>0</v>
      </c>
      <c r="F30" s="48">
        <f>SUMIFS('Plus Agg Analysis'!$K$8:$K$49,'Plus Agg Analysis'!$A$8:$A$49,'Loss Summary Analysis'!B31,'Plus Agg Analysis'!$C$8:$C$49,'Drop downs'!$B$3)</f>
        <v>0</v>
      </c>
      <c r="G30" s="57">
        <f>IF(B30=0,"",COUNTIFS(PolicyYears,B30,OtherDeductible,"&gt;0",OwnershipStatus,'Drop downs'!$B$3))</f>
        <v>0</v>
      </c>
      <c r="H30" s="48">
        <f>SUMIFS('Plus Agg Analysis'!$K$58:$K$99,'Plus Agg Analysis'!$A$58:$A$99,'Loss Summary Analysis'!B31,'Plus Agg Analysis'!$C$58:$C$99,'Drop downs'!$B$3)</f>
        <v>0</v>
      </c>
      <c r="I30" s="45"/>
    </row>
    <row r="31" spans="1:9" ht="16.5" thickBot="1">
      <c r="A31" s="254"/>
      <c r="B31" s="215" t="s">
        <v>11</v>
      </c>
      <c r="C31" s="38">
        <f>SUM(C25:C30)</f>
        <v>0</v>
      </c>
      <c r="D31" s="39">
        <f>SUM(D25:D30)</f>
        <v>0</v>
      </c>
      <c r="E31" s="38">
        <f t="shared" ref="E31:H31" si="3">SUM(E24:E30)</f>
        <v>0</v>
      </c>
      <c r="F31" s="39">
        <f t="shared" si="3"/>
        <v>0</v>
      </c>
      <c r="G31" s="38">
        <f t="shared" si="3"/>
        <v>0</v>
      </c>
      <c r="H31" s="39">
        <f t="shared" si="3"/>
        <v>0</v>
      </c>
      <c r="I31" s="45"/>
    </row>
    <row r="32" spans="1:9">
      <c r="A32" s="254"/>
      <c r="B32" s="216" t="str">
        <f>COUNTIF(B25:B30,"*")&amp;"-year AAL"</f>
        <v>6-year AAL</v>
      </c>
      <c r="C32" s="59">
        <f>C31/COUNTIF($B$25:$B$30,"*")</f>
        <v>0</v>
      </c>
      <c r="D32" s="60">
        <f>D31/COUNTIF($B$25:$B$30,"*")</f>
        <v>0</v>
      </c>
      <c r="E32" s="59">
        <f>E31/COUNTIF($B$13:$B$17,"*")</f>
        <v>0</v>
      </c>
      <c r="F32" s="60">
        <f>F31/COUNTIF($B$13:$B$17,"*")</f>
        <v>0</v>
      </c>
      <c r="G32" s="59">
        <f>G31/COUNTIF($B$13:$B$17,"*")</f>
        <v>0</v>
      </c>
      <c r="H32" s="221">
        <f>H31/COUNTIF($B$13:$B$17,"*")</f>
        <v>0</v>
      </c>
      <c r="I32" s="45"/>
    </row>
    <row r="33" spans="1:9" ht="16.5" thickBot="1">
      <c r="A33" s="255"/>
      <c r="B33" s="217" t="str">
        <f>'Drop downs'!G2&amp;"-year AAL"</f>
        <v>3-year AAL</v>
      </c>
      <c r="C33" s="62">
        <f ca="1">AVERAGE(OFFSET(C24,COUNT(C25:C30),0,-'Drop downs'!$G$2))</f>
        <v>0</v>
      </c>
      <c r="D33" s="63">
        <f ca="1">AVERAGE(OFFSET(D24,COUNT(D25:D30),0,-'Drop downs'!$G$2))</f>
        <v>0</v>
      </c>
      <c r="E33" s="62">
        <f ca="1">AVERAGE(OFFSET(E24,COUNT(E25:E30),0,-'Drop downs'!$G$2))</f>
        <v>0</v>
      </c>
      <c r="F33" s="52">
        <f ca="1">AVERAGE(OFFSET(F24,COUNT(F25:F30),0,-'Drop downs'!$G$2))</f>
        <v>0</v>
      </c>
      <c r="G33" s="62">
        <f ca="1">AVERAGE(OFFSET(G24,COUNT(G25:G30),0,-'Drop downs'!$G$2))</f>
        <v>0</v>
      </c>
      <c r="H33" s="52">
        <f ca="1">AVERAGE(OFFSET(H24,COUNT(H25:H30),0,-'Drop downs'!$G$2))</f>
        <v>0</v>
      </c>
      <c r="I33" s="45"/>
    </row>
    <row r="34" spans="1:9">
      <c r="D34" s="64"/>
      <c r="E34" s="64"/>
      <c r="F34" s="64"/>
      <c r="G34" s="64"/>
      <c r="H34" s="64"/>
      <c r="I34" s="45"/>
    </row>
    <row r="35" spans="1:9">
      <c r="C35" s="44"/>
      <c r="D35" s="44"/>
      <c r="G35" s="45"/>
      <c r="H35" s="45"/>
      <c r="I35" s="45"/>
    </row>
    <row r="36" spans="1:9" ht="16.5" thickBot="1">
      <c r="C36" s="239" t="s">
        <v>79</v>
      </c>
      <c r="D36" s="240"/>
      <c r="E36" s="240"/>
      <c r="F36" s="240"/>
      <c r="G36" s="241"/>
      <c r="H36" s="45"/>
      <c r="I36" s="45"/>
    </row>
    <row r="37" spans="1:9" ht="15.75" customHeight="1">
      <c r="A37" s="247" t="s">
        <v>67</v>
      </c>
      <c r="B37" s="66" t="s">
        <v>13</v>
      </c>
      <c r="C37" s="66" t="s">
        <v>41</v>
      </c>
      <c r="D37" s="66" t="s">
        <v>101</v>
      </c>
      <c r="E37" s="66" t="s">
        <v>42</v>
      </c>
      <c r="F37" s="66" t="s">
        <v>80</v>
      </c>
      <c r="G37" s="37" t="s">
        <v>18</v>
      </c>
      <c r="H37" s="45"/>
      <c r="I37" s="45"/>
    </row>
    <row r="38" spans="1:9" ht="21.75" customHeight="1">
      <c r="A38" s="248"/>
      <c r="B38" s="67" t="s">
        <v>6</v>
      </c>
      <c r="C38" s="47">
        <f>SUMIF('Plus Agg Analysis'!$D$8:$D$49,'Loss Summary Analysis w. Agg'!$C$37,'Plus Agg Analysis'!$K$8:$K$49)</f>
        <v>0</v>
      </c>
      <c r="D38" s="47">
        <f>SUMIF('Plus Agg Analysis'!$D$8:$D$49,'Loss Summary Analysis w. Agg'!$D$37,'Plus Agg Analysis'!$K$8:$K$49)</f>
        <v>0</v>
      </c>
      <c r="E38" s="47">
        <f>SUMIF('Plus Agg Analysis'!$D$8:$D$49,'Loss Summary Analysis w. Agg'!$E$37,'Plus Agg Analysis'!$K$8:$K$49)</f>
        <v>0</v>
      </c>
      <c r="F38" s="47">
        <f>G38-E38-D38-C38</f>
        <v>0</v>
      </c>
      <c r="G38" s="48">
        <f>SUM('Plus Agg Analysis'!$K$8:$K$49)</f>
        <v>0</v>
      </c>
      <c r="H38" s="45"/>
      <c r="I38" s="45"/>
    </row>
    <row r="39" spans="1:9" ht="21.75" customHeight="1">
      <c r="A39" s="248"/>
      <c r="B39" s="41" t="s">
        <v>54</v>
      </c>
      <c r="C39" s="174" t="e">
        <f>C38/$G$38</f>
        <v>#DIV/0!</v>
      </c>
      <c r="D39" s="174" t="e">
        <f>D38/$G$38</f>
        <v>#DIV/0!</v>
      </c>
      <c r="E39" s="174" t="e">
        <f>E38/$G$38</f>
        <v>#DIV/0!</v>
      </c>
      <c r="F39" s="174" t="e">
        <f>F38/$G$38</f>
        <v>#DIV/0!</v>
      </c>
      <c r="G39" s="175"/>
      <c r="H39" s="45"/>
      <c r="I39" s="45"/>
    </row>
    <row r="40" spans="1:9" ht="21.75" customHeight="1" thickBot="1">
      <c r="A40" s="249"/>
      <c r="B40" s="68" t="str">
        <f>COUNTIF(B13:B17,"*")&amp;"-year AAL"</f>
        <v>5-year AAL</v>
      </c>
      <c r="C40" s="51" t="e">
        <f>C39/COUNTIF($B$25:$B$30,"*")</f>
        <v>#DIV/0!</v>
      </c>
      <c r="D40" s="51" t="e">
        <f>D39/COUNTIF($B$25:$B$30,"*")</f>
        <v>#DIV/0!</v>
      </c>
      <c r="E40" s="51" t="e">
        <f>E39/COUNTIF($B$25:$B$30,"*")</f>
        <v>#DIV/0!</v>
      </c>
      <c r="F40" s="51" t="e">
        <f>F39/COUNTIF($B$25:$B$30,"*")</f>
        <v>#DIV/0!</v>
      </c>
      <c r="G40" s="52">
        <f>G39/COUNTIF($B$25:$B$30,"*")</f>
        <v>0</v>
      </c>
      <c r="H40" s="45"/>
      <c r="I40" s="45"/>
    </row>
    <row r="41" spans="1:9">
      <c r="C41" s="44"/>
      <c r="D41" s="44"/>
      <c r="H41" s="45"/>
      <c r="I41" s="45"/>
    </row>
    <row r="42" spans="1:9">
      <c r="C42" s="44"/>
      <c r="D42" s="44"/>
      <c r="H42" s="45"/>
      <c r="I42" s="45"/>
    </row>
    <row r="43" spans="1:9">
      <c r="D43" s="44"/>
      <c r="I43" s="45"/>
    </row>
  </sheetData>
  <mergeCells count="21">
    <mergeCell ref="C36:G36"/>
    <mergeCell ref="A37:A40"/>
    <mergeCell ref="C11:D11"/>
    <mergeCell ref="E11:F11"/>
    <mergeCell ref="G11:H11"/>
    <mergeCell ref="C23:D23"/>
    <mergeCell ref="E23:F23"/>
    <mergeCell ref="G23:H23"/>
    <mergeCell ref="E6:F6"/>
    <mergeCell ref="G6:H6"/>
    <mergeCell ref="A24:A33"/>
    <mergeCell ref="A12:A20"/>
    <mergeCell ref="A1:D1"/>
    <mergeCell ref="E4:F4"/>
    <mergeCell ref="G4:H4"/>
    <mergeCell ref="E5:F5"/>
    <mergeCell ref="G5:H5"/>
    <mergeCell ref="E7:F7"/>
    <mergeCell ref="G7:H7"/>
    <mergeCell ref="E8:F8"/>
    <mergeCell ref="G8:H8"/>
  </mergeCells>
  <conditionalFormatting sqref="A1">
    <cfRule type="cellIs" dxfId="10" priority="2" operator="equal">
      <formula>"Client Name"</formula>
    </cfRule>
  </conditionalFormatting>
  <conditionalFormatting sqref="A2">
    <cfRule type="containsBlanks" dxfId="9" priority="21">
      <formula>LEN(TRIM(A2))=0</formula>
    </cfRule>
  </conditionalFormatting>
  <conditionalFormatting sqref="B38:G40">
    <cfRule type="containsText" dxfId="8" priority="18" operator="containsText" text="Delete">
      <formula>NOT(ISERROR(SEARCH("Delete",B38)))</formula>
    </cfRule>
  </conditionalFormatting>
  <conditionalFormatting sqref="B25:H33">
    <cfRule type="containsText" dxfId="7" priority="1" operator="containsText" text="Delete">
      <formula>NOT(ISERROR(SEARCH("Delete",B25)))</formula>
    </cfRule>
  </conditionalFormatting>
  <conditionalFormatting sqref="C13:H16 B13:B17 B17:H20">
    <cfRule type="containsText" dxfId="6" priority="11" operator="containsText" text="Delete">
      <formula>NOT(ISERROR(SEARCH("Delete",B13)))</formula>
    </cfRule>
  </conditionalFormatting>
  <pageMargins left="0.25" right="0.25" top="0.75" bottom="0.75" header="0.3" footer="0.3"/>
  <pageSetup scale="50" orientation="landscape" horizontalDpi="1200" verticalDpi="1200"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BFB6CB7-8E88-420B-A70B-208D4386950B}">
          <x14:formula1>
            <xm:f>'Drop downs'!$D$2:$D$11</xm:f>
          </x14:formula1>
          <xm:sqref>C37:E37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F4382-1F4A-4C27-93D2-085210AB99A7}">
  <dimension ref="A1:T103"/>
  <sheetViews>
    <sheetView zoomScale="115" zoomScaleNormal="115" workbookViewId="0">
      <selection activeCell="A8" sqref="A8:A12"/>
    </sheetView>
  </sheetViews>
  <sheetFormatPr defaultRowHeight="15"/>
  <cols>
    <col min="1" max="1" width="28.85546875" customWidth="1"/>
    <col min="2" max="2" width="36.5703125" customWidth="1"/>
    <col min="3" max="6" width="28.85546875" customWidth="1"/>
    <col min="7" max="7" width="3.7109375" customWidth="1"/>
    <col min="8" max="10" width="23.28515625" customWidth="1"/>
    <col min="11" max="11" width="21.5703125" customWidth="1"/>
    <col min="12" max="12" width="3.7109375" customWidth="1"/>
    <col min="13" max="15" width="24" customWidth="1"/>
    <col min="16" max="16" width="13" customWidth="1"/>
  </cols>
  <sheetData>
    <row r="1" spans="1:15" ht="29.25" customHeight="1">
      <c r="A1" s="256" t="str">
        <f>IF('Loss Summary Analysis'!A1=ISBLANK(0),"Client Name",'Loss Summary Analysis'!A1)</f>
        <v>Client Name</v>
      </c>
      <c r="B1" s="256"/>
      <c r="C1" s="256"/>
      <c r="D1" s="256"/>
      <c r="F1" s="172"/>
    </row>
    <row r="2" spans="1:15" ht="21.75" customHeight="1">
      <c r="A2" s="45" t="s">
        <v>97</v>
      </c>
      <c r="H2" s="260" t="s">
        <v>63</v>
      </c>
      <c r="I2" s="261"/>
      <c r="J2" s="261"/>
      <c r="K2" s="261"/>
    </row>
    <row r="3" spans="1:15" ht="21.75" customHeight="1">
      <c r="D3" s="262" t="s">
        <v>103</v>
      </c>
      <c r="E3" s="262"/>
      <c r="H3" s="41" t="s">
        <v>99</v>
      </c>
      <c r="I3" s="41" t="s">
        <v>41</v>
      </c>
      <c r="J3" s="41" t="s">
        <v>101</v>
      </c>
      <c r="K3" s="41" t="s">
        <v>100</v>
      </c>
    </row>
    <row r="4" spans="1:15" ht="21.75" customHeight="1">
      <c r="A4" s="170" t="s">
        <v>79</v>
      </c>
      <c r="B4" s="171"/>
      <c r="H4" s="47"/>
      <c r="I4" s="49"/>
      <c r="J4" s="49"/>
      <c r="K4" s="47"/>
    </row>
    <row r="6" spans="1:15" ht="39.75" customHeight="1">
      <c r="A6" s="168" t="s">
        <v>4</v>
      </c>
      <c r="B6" s="168" t="s">
        <v>2</v>
      </c>
      <c r="C6" s="168" t="s">
        <v>22</v>
      </c>
      <c r="D6" s="168" t="s">
        <v>102</v>
      </c>
      <c r="E6" s="168" t="s">
        <v>108</v>
      </c>
      <c r="F6" s="168" t="s">
        <v>104</v>
      </c>
      <c r="H6" s="168" t="s">
        <v>93</v>
      </c>
      <c r="I6" s="168" t="s">
        <v>94</v>
      </c>
      <c r="J6" s="168" t="s">
        <v>95</v>
      </c>
      <c r="K6" s="168" t="s">
        <v>96</v>
      </c>
      <c r="M6" s="168" t="s">
        <v>98</v>
      </c>
      <c r="N6" s="168" t="s">
        <v>106</v>
      </c>
      <c r="O6" s="168" t="s">
        <v>105</v>
      </c>
    </row>
    <row r="7" spans="1:15" ht="15" hidden="1" customHeight="1">
      <c r="J7" s="167">
        <f>K4</f>
        <v>0</v>
      </c>
    </row>
    <row r="8" spans="1:15">
      <c r="A8" s="23"/>
      <c r="B8" s="173" t="str">
        <f>IF('Claim Details'!F17=ISBLANK(0),"",'Claim Details'!F17)</f>
        <v/>
      </c>
      <c r="C8" s="23" t="str">
        <f>IF('Claim Details'!I17=ISBLANK(0),"",'Claim Details'!I17)</f>
        <v/>
      </c>
      <c r="D8" s="23" t="str">
        <f>IF('Claim Details'!K17=ISBLANK(0),"",'Claim Details'!K17)</f>
        <v/>
      </c>
      <c r="E8" s="14" t="str">
        <f>IF(LEN(A8)=0,"",IF(OR(D8='Drop downs'!$D$4,D8='Drop downs'!$D$7,D8='Drop downs'!$D$8),0,IF('Claim Details'!Q17=ISBLANK(0),"",'Claim Details'!Q17)))</f>
        <v/>
      </c>
      <c r="F8" s="14" t="str">
        <f>IF(LEN(A8)=0,"",IF(OR(D8='Drop downs'!$D$4,D8='Drop downs'!$D$7,D8='Drop downs'!$D$8),IF('Claim Details'!Q17=ISBLANK(0),"",'Claim Details'!Q17),0))</f>
        <v/>
      </c>
      <c r="G8" s="167"/>
      <c r="H8" s="14" t="str">
        <f t="shared" ref="H8:H49" si="0">IF(LEN(A8)=0,"",IF(D8=$J$3,0,IF(D8=$I$3,IF($I$4&gt;1,IF($I$4&lt;E8,E8-$I$4,0),IF(($I$4*M8)&lt;E8,E8-($I$4*M8),0)),IF($H$4&lt;E8,E8-$H$4,0))))</f>
        <v/>
      </c>
      <c r="I8" s="14" t="str">
        <f t="shared" ref="I8:I49" si="1">IF(LEN(A8)=0,"",IF(H8=0,0,IF(H8&gt;0+IF(A8=A7,J7,$K$4),IF(A8=A7,J7,$K$4),H8)))</f>
        <v/>
      </c>
      <c r="J8" s="14" t="str">
        <f t="shared" ref="J8:J49" si="2">IF(LEN(A8)=0,"",IF(A8=A7,IF(I8&gt;J7,0,J7-I8),$K$4-I8))</f>
        <v/>
      </c>
      <c r="K8" s="14" t="str">
        <f t="shared" ref="K8:K49" si="3">IF(LEN(A8)=0,"",SUM(N8:O8))</f>
        <v/>
      </c>
      <c r="M8" s="14" t="str">
        <f>IF('Claim Details'!T17=ISBLANK(0),"",'Claim Details'!T17)</f>
        <v/>
      </c>
      <c r="N8" s="14" t="str">
        <f t="shared" ref="N8:N49" si="4">IF(LEN(A8)=0,"",IF(J8=0,H8-I8,0))</f>
        <v/>
      </c>
      <c r="O8" s="14" t="str">
        <f t="shared" ref="O8:O49" si="5">IF(LEN(A8)=0,"",IF(D8=$I$3,0,IF(D8=$J$3,IF($J$4&gt;1,IF($J$4&lt;F8,F8-$J$4,0),IF(($J$4*M8)&lt;F8,F8-($J$4*M8),0)),IF($H$4&lt;F8,F8-$H$4,0))))</f>
        <v/>
      </c>
    </row>
    <row r="9" spans="1:15">
      <c r="A9" s="23"/>
      <c r="B9" s="173" t="str">
        <f>IF('Claim Details'!F18=ISBLANK(0),"",'Claim Details'!F18)</f>
        <v/>
      </c>
      <c r="C9" s="23" t="str">
        <f>IF('Claim Details'!I18=ISBLANK(0),"",'Claim Details'!I18)</f>
        <v/>
      </c>
      <c r="D9" s="23" t="str">
        <f>IF('Claim Details'!K18=ISBLANK(0),"",'Claim Details'!K18)</f>
        <v/>
      </c>
      <c r="E9" s="14" t="str">
        <f>IF(LEN(A9)=0,"",IF(OR(D9='Drop downs'!$D$4,D9='Drop downs'!$D$7,D9='Drop downs'!$D$8),0,IF('Claim Details'!Q18=ISBLANK(0),"",'Claim Details'!Q18)))</f>
        <v/>
      </c>
      <c r="F9" s="14" t="str">
        <f>IF(LEN(A9)=0,"",IF(OR(D9='Drop downs'!$D$4,D9='Drop downs'!$D$7,D9='Drop downs'!$D$8),IF('Claim Details'!Q18=ISBLANK(0),"",'Claim Details'!Q18),0))</f>
        <v/>
      </c>
      <c r="G9" s="167"/>
      <c r="H9" s="14" t="str">
        <f t="shared" si="0"/>
        <v/>
      </c>
      <c r="I9" s="14" t="str">
        <f t="shared" si="1"/>
        <v/>
      </c>
      <c r="J9" s="14" t="str">
        <f t="shared" si="2"/>
        <v/>
      </c>
      <c r="K9" s="14" t="str">
        <f t="shared" si="3"/>
        <v/>
      </c>
      <c r="M9" s="14" t="str">
        <f>IF('Claim Details'!T18=ISBLANK(0),"",'Claim Details'!T18)</f>
        <v/>
      </c>
      <c r="N9" s="14" t="str">
        <f t="shared" si="4"/>
        <v/>
      </c>
      <c r="O9" s="14" t="str">
        <f t="shared" si="5"/>
        <v/>
      </c>
    </row>
    <row r="10" spans="1:15">
      <c r="A10" s="23"/>
      <c r="B10" s="173" t="str">
        <f>IF('Claim Details'!F19=ISBLANK(0),"",'Claim Details'!F19)</f>
        <v/>
      </c>
      <c r="C10" s="23" t="str">
        <f>IF('Claim Details'!I19=ISBLANK(0),"",'Claim Details'!I19)</f>
        <v/>
      </c>
      <c r="D10" s="23" t="str">
        <f>IF('Claim Details'!K19=ISBLANK(0),"",'Claim Details'!K19)</f>
        <v/>
      </c>
      <c r="E10" s="14" t="str">
        <f>IF(LEN(A10)=0,"",IF(OR(D10='Drop downs'!$D$4,D10='Drop downs'!$D$7,D10='Drop downs'!$D$8),0,IF('Claim Details'!Q19=ISBLANK(0),"",'Claim Details'!Q19)))</f>
        <v/>
      </c>
      <c r="F10" s="14" t="str">
        <f>IF(LEN(A10)=0,"",IF(OR(D10='Drop downs'!$D$4,D10='Drop downs'!$D$7,D10='Drop downs'!$D$8),IF('Claim Details'!Q19=ISBLANK(0),"",'Claim Details'!Q19),0))</f>
        <v/>
      </c>
      <c r="G10" s="167"/>
      <c r="H10" s="14" t="str">
        <f t="shared" si="0"/>
        <v/>
      </c>
      <c r="I10" s="14" t="str">
        <f t="shared" si="1"/>
        <v/>
      </c>
      <c r="J10" s="14" t="str">
        <f t="shared" si="2"/>
        <v/>
      </c>
      <c r="K10" s="14" t="str">
        <f t="shared" si="3"/>
        <v/>
      </c>
      <c r="M10" s="14" t="str">
        <f>IF('Claim Details'!T19=ISBLANK(0),"",'Claim Details'!T19)</f>
        <v/>
      </c>
      <c r="N10" s="14" t="str">
        <f t="shared" si="4"/>
        <v/>
      </c>
      <c r="O10" s="14" t="str">
        <f t="shared" si="5"/>
        <v/>
      </c>
    </row>
    <row r="11" spans="1:15">
      <c r="A11" s="23"/>
      <c r="B11" s="173" t="str">
        <f>IF('Claim Details'!F20=ISBLANK(0),"",'Claim Details'!F20)</f>
        <v/>
      </c>
      <c r="C11" s="23" t="str">
        <f>IF('Claim Details'!I20=ISBLANK(0),"",'Claim Details'!I20)</f>
        <v/>
      </c>
      <c r="D11" s="23" t="str">
        <f>IF('Claim Details'!K20=ISBLANK(0),"",'Claim Details'!K20)</f>
        <v/>
      </c>
      <c r="E11" s="14" t="str">
        <f>IF(LEN(A11)=0,"",IF(OR(D11='Drop downs'!$D$4,D11='Drop downs'!$D$7,D11='Drop downs'!$D$8),0,IF('Claim Details'!Q20=ISBLANK(0),"",'Claim Details'!Q20)))</f>
        <v/>
      </c>
      <c r="F11" s="14" t="str">
        <f>IF(LEN(A11)=0,"",IF(OR(D11='Drop downs'!$D$4,D11='Drop downs'!$D$7,D11='Drop downs'!$D$8),IF('Claim Details'!Q20=ISBLANK(0),"",'Claim Details'!Q20),0))</f>
        <v/>
      </c>
      <c r="G11" s="167"/>
      <c r="H11" s="14" t="str">
        <f t="shared" si="0"/>
        <v/>
      </c>
      <c r="I11" s="14" t="str">
        <f t="shared" si="1"/>
        <v/>
      </c>
      <c r="J11" s="14" t="str">
        <f t="shared" si="2"/>
        <v/>
      </c>
      <c r="K11" s="14" t="str">
        <f t="shared" si="3"/>
        <v/>
      </c>
      <c r="M11" s="14" t="str">
        <f>IF('Claim Details'!T20=ISBLANK(0),"",'Claim Details'!T20)</f>
        <v/>
      </c>
      <c r="N11" s="14" t="str">
        <f t="shared" si="4"/>
        <v/>
      </c>
      <c r="O11" s="14" t="str">
        <f t="shared" si="5"/>
        <v/>
      </c>
    </row>
    <row r="12" spans="1:15">
      <c r="A12" s="23"/>
      <c r="B12" s="173" t="str">
        <f>IF('Claim Details'!F21=ISBLANK(0),"",'Claim Details'!F21)</f>
        <v/>
      </c>
      <c r="C12" s="23" t="str">
        <f>IF('Claim Details'!I21=ISBLANK(0),"",'Claim Details'!I21)</f>
        <v/>
      </c>
      <c r="D12" s="23" t="str">
        <f>IF('Claim Details'!K21=ISBLANK(0),"",'Claim Details'!K21)</f>
        <v/>
      </c>
      <c r="E12" s="14" t="str">
        <f>IF(LEN(A12)=0,"",IF(OR(D12='Drop downs'!$D$4,D12='Drop downs'!$D$7,D12='Drop downs'!$D$8),0,IF('Claim Details'!Q21=ISBLANK(0),"",'Claim Details'!Q21)))</f>
        <v/>
      </c>
      <c r="F12" s="14" t="str">
        <f>IF(LEN(A12)=0,"",IF(OR(D12='Drop downs'!$D$4,D12='Drop downs'!$D$7,D12='Drop downs'!$D$8),IF('Claim Details'!Q21=ISBLANK(0),"",'Claim Details'!Q21),0))</f>
        <v/>
      </c>
      <c r="G12" s="167"/>
      <c r="H12" s="14" t="str">
        <f t="shared" si="0"/>
        <v/>
      </c>
      <c r="I12" s="14" t="str">
        <f t="shared" si="1"/>
        <v/>
      </c>
      <c r="J12" s="14" t="str">
        <f t="shared" si="2"/>
        <v/>
      </c>
      <c r="K12" s="14" t="str">
        <f t="shared" si="3"/>
        <v/>
      </c>
      <c r="M12" s="14" t="str">
        <f>IF('Claim Details'!T21=ISBLANK(0),"",'Claim Details'!T21)</f>
        <v/>
      </c>
      <c r="N12" s="14" t="str">
        <f t="shared" si="4"/>
        <v/>
      </c>
      <c r="O12" s="14" t="str">
        <f t="shared" si="5"/>
        <v/>
      </c>
    </row>
    <row r="13" spans="1:15">
      <c r="A13" s="23" t="str">
        <f>IF('Claim Details'!A22=ISBLANK(0),"",'Claim Details'!A22)</f>
        <v/>
      </c>
      <c r="B13" s="173" t="str">
        <f>IF('Claim Details'!F22=ISBLANK(0),"",'Claim Details'!F22)</f>
        <v/>
      </c>
      <c r="C13" s="23" t="str">
        <f>IF('Claim Details'!I22=ISBLANK(0),"",'Claim Details'!I22)</f>
        <v/>
      </c>
      <c r="D13" s="23" t="str">
        <f>IF('Claim Details'!K22=ISBLANK(0),"",'Claim Details'!K22)</f>
        <v/>
      </c>
      <c r="E13" s="14" t="str">
        <f>IF(LEN(A13)=0,"",IF(OR(D13='Drop downs'!$D$4,D13='Drop downs'!$D$7,D13='Drop downs'!$D$8),0,IF('Claim Details'!Q22=ISBLANK(0),"",'Claim Details'!Q22)))</f>
        <v/>
      </c>
      <c r="F13" s="14" t="str">
        <f>IF(LEN(A13)=0,"",IF(OR(D13='Drop downs'!$D$4,D13='Drop downs'!$D$7,D13='Drop downs'!$D$8),IF('Claim Details'!Q22=ISBLANK(0),"",'Claim Details'!Q22),0))</f>
        <v/>
      </c>
      <c r="G13" s="167"/>
      <c r="H13" s="14" t="str">
        <f t="shared" si="0"/>
        <v/>
      </c>
      <c r="I13" s="14" t="str">
        <f t="shared" si="1"/>
        <v/>
      </c>
      <c r="J13" s="14" t="str">
        <f t="shared" si="2"/>
        <v/>
      </c>
      <c r="K13" s="14" t="str">
        <f t="shared" si="3"/>
        <v/>
      </c>
      <c r="M13" s="14" t="str">
        <f>IF('Claim Details'!T22=ISBLANK(0),"",'Claim Details'!T22)</f>
        <v/>
      </c>
      <c r="N13" s="14" t="str">
        <f t="shared" si="4"/>
        <v/>
      </c>
      <c r="O13" s="14" t="str">
        <f t="shared" si="5"/>
        <v/>
      </c>
    </row>
    <row r="14" spans="1:15">
      <c r="A14" s="23" t="str">
        <f>IF('Claim Details'!A23=ISBLANK(0),"",'Claim Details'!A23)</f>
        <v/>
      </c>
      <c r="B14" s="173" t="str">
        <f>IF('Claim Details'!F23=ISBLANK(0),"",'Claim Details'!F23)</f>
        <v/>
      </c>
      <c r="C14" s="23" t="str">
        <f>IF('Claim Details'!I23=ISBLANK(0),"",'Claim Details'!I23)</f>
        <v/>
      </c>
      <c r="D14" s="23" t="str">
        <f>IF('Claim Details'!K23=ISBLANK(0),"",'Claim Details'!K23)</f>
        <v/>
      </c>
      <c r="E14" s="14" t="str">
        <f>IF(LEN(A14)=0,"",IF(OR(D14='Drop downs'!$D$4,D14='Drop downs'!$D$7,D14='Drop downs'!$D$8),0,IF('Claim Details'!Q23=ISBLANK(0),"",'Claim Details'!Q23)))</f>
        <v/>
      </c>
      <c r="F14" s="14" t="str">
        <f>IF(LEN(A14)=0,"",IF(OR(D14='Drop downs'!$D$4,D14='Drop downs'!$D$7,D14='Drop downs'!$D$8),IF('Claim Details'!Q23=ISBLANK(0),"",'Claim Details'!Q23),0))</f>
        <v/>
      </c>
      <c r="G14" s="167"/>
      <c r="H14" s="14" t="str">
        <f t="shared" si="0"/>
        <v/>
      </c>
      <c r="I14" s="14" t="str">
        <f t="shared" si="1"/>
        <v/>
      </c>
      <c r="J14" s="14" t="str">
        <f t="shared" si="2"/>
        <v/>
      </c>
      <c r="K14" s="14" t="str">
        <f t="shared" si="3"/>
        <v/>
      </c>
      <c r="M14" s="14" t="str">
        <f>IF('Claim Details'!T23=ISBLANK(0),"",'Claim Details'!T23)</f>
        <v/>
      </c>
      <c r="N14" s="14" t="str">
        <f t="shared" si="4"/>
        <v/>
      </c>
      <c r="O14" s="14" t="str">
        <f t="shared" si="5"/>
        <v/>
      </c>
    </row>
    <row r="15" spans="1:15">
      <c r="A15" s="23" t="str">
        <f>IF('Claim Details'!A24=ISBLANK(0),"",'Claim Details'!A24)</f>
        <v/>
      </c>
      <c r="B15" s="173" t="str">
        <f>IF('Claim Details'!F24=ISBLANK(0),"",'Claim Details'!F24)</f>
        <v/>
      </c>
      <c r="C15" s="23" t="str">
        <f>IF('Claim Details'!I24=ISBLANK(0),"",'Claim Details'!I24)</f>
        <v/>
      </c>
      <c r="D15" s="23" t="str">
        <f>IF('Claim Details'!K24=ISBLANK(0),"",'Claim Details'!K24)</f>
        <v/>
      </c>
      <c r="E15" s="14" t="str">
        <f>IF(LEN(A15)=0,"",IF(OR(D15='Drop downs'!$D$4,D15='Drop downs'!$D$7,D15='Drop downs'!$D$8),0,IF('Claim Details'!Q24=ISBLANK(0),"",'Claim Details'!Q24)))</f>
        <v/>
      </c>
      <c r="F15" s="14" t="str">
        <f>IF(LEN(A15)=0,"",IF(OR(D15='Drop downs'!$D$4,D15='Drop downs'!$D$7,D15='Drop downs'!$D$8),IF('Claim Details'!Q24=ISBLANK(0),"",'Claim Details'!Q24),0))</f>
        <v/>
      </c>
      <c r="G15" s="167"/>
      <c r="H15" s="14" t="str">
        <f t="shared" si="0"/>
        <v/>
      </c>
      <c r="I15" s="14" t="str">
        <f t="shared" si="1"/>
        <v/>
      </c>
      <c r="J15" s="14" t="str">
        <f t="shared" si="2"/>
        <v/>
      </c>
      <c r="K15" s="14" t="str">
        <f t="shared" si="3"/>
        <v/>
      </c>
      <c r="M15" s="14" t="str">
        <f>IF('Claim Details'!T24=ISBLANK(0),"",'Claim Details'!T24)</f>
        <v/>
      </c>
      <c r="N15" s="14" t="str">
        <f t="shared" si="4"/>
        <v/>
      </c>
      <c r="O15" s="14" t="str">
        <f t="shared" si="5"/>
        <v/>
      </c>
    </row>
    <row r="16" spans="1:15">
      <c r="A16" s="23" t="str">
        <f>IF('Claim Details'!A25=ISBLANK(0),"",'Claim Details'!A25)</f>
        <v/>
      </c>
      <c r="B16" s="173" t="str">
        <f>IF('Claim Details'!F25=ISBLANK(0),"",'Claim Details'!F25)</f>
        <v/>
      </c>
      <c r="C16" s="23" t="str">
        <f>IF('Claim Details'!I25=ISBLANK(0),"",'Claim Details'!I25)</f>
        <v/>
      </c>
      <c r="D16" s="23" t="str">
        <f>IF('Claim Details'!K25=ISBLANK(0),"",'Claim Details'!K25)</f>
        <v/>
      </c>
      <c r="E16" s="14" t="str">
        <f>IF(LEN(A16)=0,"",IF(OR(D16='Drop downs'!$D$4,D16='Drop downs'!$D$7,D16='Drop downs'!$D$8),0,IF('Claim Details'!Q25=ISBLANK(0),"",'Claim Details'!Q25)))</f>
        <v/>
      </c>
      <c r="F16" s="14" t="str">
        <f>IF(LEN(A16)=0,"",IF(OR(D16='Drop downs'!$D$4,D16='Drop downs'!$D$7,D16='Drop downs'!$D$8),IF('Claim Details'!Q25=ISBLANK(0),"",'Claim Details'!Q25),0))</f>
        <v/>
      </c>
      <c r="G16" s="167"/>
      <c r="H16" s="14" t="str">
        <f t="shared" si="0"/>
        <v/>
      </c>
      <c r="I16" s="14" t="str">
        <f t="shared" si="1"/>
        <v/>
      </c>
      <c r="J16" s="14" t="str">
        <f t="shared" si="2"/>
        <v/>
      </c>
      <c r="K16" s="14" t="str">
        <f t="shared" si="3"/>
        <v/>
      </c>
      <c r="M16" s="14" t="str">
        <f>IF('Claim Details'!T25=ISBLANK(0),"",'Claim Details'!T25)</f>
        <v/>
      </c>
      <c r="N16" s="14" t="str">
        <f t="shared" si="4"/>
        <v/>
      </c>
      <c r="O16" s="14" t="str">
        <f t="shared" si="5"/>
        <v/>
      </c>
    </row>
    <row r="17" spans="1:15">
      <c r="A17" s="23" t="str">
        <f>IF('Claim Details'!A26=ISBLANK(0),"",'Claim Details'!A26)</f>
        <v/>
      </c>
      <c r="B17" s="173" t="str">
        <f>IF('Claim Details'!F26=ISBLANK(0),"",'Claim Details'!F26)</f>
        <v/>
      </c>
      <c r="C17" s="23" t="str">
        <f>IF('Claim Details'!I26=ISBLANK(0),"",'Claim Details'!I26)</f>
        <v/>
      </c>
      <c r="D17" s="23" t="str">
        <f>IF('Claim Details'!K26=ISBLANK(0),"",'Claim Details'!K26)</f>
        <v/>
      </c>
      <c r="E17" s="14" t="str">
        <f>IF(LEN(A17)=0,"",IF(OR(D17='Drop downs'!$D$4,D17='Drop downs'!$D$7,D17='Drop downs'!$D$8),0,IF('Claim Details'!Q26=ISBLANK(0),"",'Claim Details'!Q26)))</f>
        <v/>
      </c>
      <c r="F17" s="14" t="str">
        <f>IF(LEN(A17)=0,"",IF(OR(D17='Drop downs'!$D$4,D17='Drop downs'!$D$7,D17='Drop downs'!$D$8),IF('Claim Details'!Q26=ISBLANK(0),"",'Claim Details'!Q26),0))</f>
        <v/>
      </c>
      <c r="G17" s="167"/>
      <c r="H17" s="14" t="str">
        <f t="shared" si="0"/>
        <v/>
      </c>
      <c r="I17" s="14" t="str">
        <f t="shared" si="1"/>
        <v/>
      </c>
      <c r="J17" s="14" t="str">
        <f t="shared" si="2"/>
        <v/>
      </c>
      <c r="K17" s="14" t="str">
        <f t="shared" si="3"/>
        <v/>
      </c>
      <c r="M17" s="14" t="str">
        <f>IF('Claim Details'!T26=ISBLANK(0),"",'Claim Details'!T26)</f>
        <v/>
      </c>
      <c r="N17" s="14" t="str">
        <f t="shared" si="4"/>
        <v/>
      </c>
      <c r="O17" s="14" t="str">
        <f t="shared" si="5"/>
        <v/>
      </c>
    </row>
    <row r="18" spans="1:15">
      <c r="A18" s="23" t="str">
        <f>IF('Claim Details'!A27=ISBLANK(0),"",'Claim Details'!A27)</f>
        <v/>
      </c>
      <c r="B18" s="173" t="str">
        <f>IF('Claim Details'!F27=ISBLANK(0),"",'Claim Details'!F27)</f>
        <v/>
      </c>
      <c r="C18" s="23" t="str">
        <f>IF('Claim Details'!I27=ISBLANK(0),"",'Claim Details'!I27)</f>
        <v/>
      </c>
      <c r="D18" s="23" t="str">
        <f>IF('Claim Details'!K27=ISBLANK(0),"",'Claim Details'!K27)</f>
        <v/>
      </c>
      <c r="E18" s="14" t="str">
        <f>IF(LEN(A18)=0,"",IF(OR(D18='Drop downs'!$D$4,D18='Drop downs'!$D$7,D18='Drop downs'!$D$8),0,IF('Claim Details'!Q27=ISBLANK(0),"",'Claim Details'!Q27)))</f>
        <v/>
      </c>
      <c r="F18" s="14" t="str">
        <f>IF(LEN(A18)=0,"",IF(OR(D18='Drop downs'!$D$4,D18='Drop downs'!$D$7,D18='Drop downs'!$D$8),IF('Claim Details'!Q27=ISBLANK(0),"",'Claim Details'!Q27),0))</f>
        <v/>
      </c>
      <c r="G18" s="167"/>
      <c r="H18" s="14" t="str">
        <f t="shared" si="0"/>
        <v/>
      </c>
      <c r="I18" s="14" t="str">
        <f t="shared" si="1"/>
        <v/>
      </c>
      <c r="J18" s="14" t="str">
        <f t="shared" si="2"/>
        <v/>
      </c>
      <c r="K18" s="14" t="str">
        <f t="shared" si="3"/>
        <v/>
      </c>
      <c r="M18" s="14" t="str">
        <f>IF('Claim Details'!T27=ISBLANK(0),"",'Claim Details'!T27)</f>
        <v/>
      </c>
      <c r="N18" s="14" t="str">
        <f t="shared" si="4"/>
        <v/>
      </c>
      <c r="O18" s="14" t="str">
        <f t="shared" si="5"/>
        <v/>
      </c>
    </row>
    <row r="19" spans="1:15">
      <c r="A19" s="23" t="str">
        <f>IF('Claim Details'!A28=ISBLANK(0),"",'Claim Details'!A28)</f>
        <v/>
      </c>
      <c r="B19" s="173" t="str">
        <f>IF('Claim Details'!F28=ISBLANK(0),"",'Claim Details'!F28)</f>
        <v/>
      </c>
      <c r="C19" s="23" t="str">
        <f>IF('Claim Details'!I28=ISBLANK(0),"",'Claim Details'!I28)</f>
        <v/>
      </c>
      <c r="D19" s="23" t="str">
        <f>IF('Claim Details'!K28=ISBLANK(0),"",'Claim Details'!K28)</f>
        <v/>
      </c>
      <c r="E19" s="14" t="str">
        <f>IF(LEN(A19)=0,"",IF(OR(D19='Drop downs'!$D$4,D19='Drop downs'!$D$7,D19='Drop downs'!$D$8),0,IF('Claim Details'!Q28=ISBLANK(0),"",'Claim Details'!Q28)))</f>
        <v/>
      </c>
      <c r="F19" s="14" t="str">
        <f>IF(LEN(A19)=0,"",IF(OR(D19='Drop downs'!$D$4,D19='Drop downs'!$D$7,D19='Drop downs'!$D$8),IF('Claim Details'!Q28=ISBLANK(0),"",'Claim Details'!Q28),0))</f>
        <v/>
      </c>
      <c r="G19" s="167"/>
      <c r="H19" s="14" t="str">
        <f t="shared" si="0"/>
        <v/>
      </c>
      <c r="I19" s="14" t="str">
        <f t="shared" si="1"/>
        <v/>
      </c>
      <c r="J19" s="14" t="str">
        <f t="shared" si="2"/>
        <v/>
      </c>
      <c r="K19" s="14" t="str">
        <f t="shared" si="3"/>
        <v/>
      </c>
      <c r="M19" s="14" t="str">
        <f>IF('Claim Details'!T28=ISBLANK(0),"",'Claim Details'!T28)</f>
        <v/>
      </c>
      <c r="N19" s="14" t="str">
        <f t="shared" si="4"/>
        <v/>
      </c>
      <c r="O19" s="14" t="str">
        <f t="shared" si="5"/>
        <v/>
      </c>
    </row>
    <row r="20" spans="1:15">
      <c r="A20" s="23" t="str">
        <f>IF('Claim Details'!A29=ISBLANK(0),"",'Claim Details'!A29)</f>
        <v/>
      </c>
      <c r="B20" s="173" t="str">
        <f>IF('Claim Details'!F29=ISBLANK(0),"",'Claim Details'!F29)</f>
        <v/>
      </c>
      <c r="C20" s="23" t="str">
        <f>IF('Claim Details'!I29=ISBLANK(0),"",'Claim Details'!I29)</f>
        <v/>
      </c>
      <c r="D20" s="23" t="str">
        <f>IF('Claim Details'!K29=ISBLANK(0),"",'Claim Details'!K29)</f>
        <v/>
      </c>
      <c r="E20" s="14" t="str">
        <f>IF(LEN(A20)=0,"",IF(OR(D20='Drop downs'!$D$4,D20='Drop downs'!$D$7,D20='Drop downs'!$D$8),0,IF('Claim Details'!Q29=ISBLANK(0),"",'Claim Details'!Q29)))</f>
        <v/>
      </c>
      <c r="F20" s="14" t="str">
        <f>IF(LEN(A20)=0,"",IF(OR(D20='Drop downs'!$D$4,D20='Drop downs'!$D$7,D20='Drop downs'!$D$8),IF('Claim Details'!Q29=ISBLANK(0),"",'Claim Details'!Q29),0))</f>
        <v/>
      </c>
      <c r="G20" s="167"/>
      <c r="H20" s="14" t="str">
        <f t="shared" si="0"/>
        <v/>
      </c>
      <c r="I20" s="14" t="str">
        <f t="shared" si="1"/>
        <v/>
      </c>
      <c r="J20" s="14" t="str">
        <f t="shared" si="2"/>
        <v/>
      </c>
      <c r="K20" s="14" t="str">
        <f t="shared" si="3"/>
        <v/>
      </c>
      <c r="M20" s="14" t="str">
        <f>IF('Claim Details'!T29=ISBLANK(0),"",'Claim Details'!T29)</f>
        <v/>
      </c>
      <c r="N20" s="14" t="str">
        <f t="shared" si="4"/>
        <v/>
      </c>
      <c r="O20" s="14" t="str">
        <f t="shared" si="5"/>
        <v/>
      </c>
    </row>
    <row r="21" spans="1:15">
      <c r="A21" s="23" t="str">
        <f>IF('Claim Details'!A30=ISBLANK(0),"",'Claim Details'!A30)</f>
        <v/>
      </c>
      <c r="B21" s="173" t="str">
        <f>IF('Claim Details'!F30=ISBLANK(0),"",'Claim Details'!F30)</f>
        <v/>
      </c>
      <c r="C21" s="23" t="str">
        <f>IF('Claim Details'!I30=ISBLANK(0),"",'Claim Details'!I30)</f>
        <v/>
      </c>
      <c r="D21" s="23" t="str">
        <f>IF('Claim Details'!K30=ISBLANK(0),"",'Claim Details'!K30)</f>
        <v/>
      </c>
      <c r="E21" s="14" t="str">
        <f>IF(LEN(A21)=0,"",IF(OR(D21='Drop downs'!$D$4,D21='Drop downs'!$D$7,D21='Drop downs'!$D$8),0,IF('Claim Details'!Q30=ISBLANK(0),"",'Claim Details'!Q30)))</f>
        <v/>
      </c>
      <c r="F21" s="14" t="str">
        <f>IF(LEN(A21)=0,"",IF(OR(D21='Drop downs'!$D$4,D21='Drop downs'!$D$7,D21='Drop downs'!$D$8),IF('Claim Details'!Q30=ISBLANK(0),"",'Claim Details'!Q30),0))</f>
        <v/>
      </c>
      <c r="G21" s="167"/>
      <c r="H21" s="14" t="str">
        <f t="shared" si="0"/>
        <v/>
      </c>
      <c r="I21" s="14" t="str">
        <f t="shared" si="1"/>
        <v/>
      </c>
      <c r="J21" s="14" t="str">
        <f t="shared" si="2"/>
        <v/>
      </c>
      <c r="K21" s="14" t="str">
        <f t="shared" si="3"/>
        <v/>
      </c>
      <c r="M21" s="14" t="str">
        <f>IF('Claim Details'!T30=ISBLANK(0),"",'Claim Details'!T30)</f>
        <v/>
      </c>
      <c r="N21" s="14" t="str">
        <f t="shared" si="4"/>
        <v/>
      </c>
      <c r="O21" s="14" t="str">
        <f t="shared" si="5"/>
        <v/>
      </c>
    </row>
    <row r="22" spans="1:15">
      <c r="A22" s="23" t="str">
        <f>IF('Claim Details'!A31=ISBLANK(0),"",'Claim Details'!A31)</f>
        <v/>
      </c>
      <c r="B22" s="173" t="str">
        <f>IF('Claim Details'!F31=ISBLANK(0),"",'Claim Details'!F31)</f>
        <v/>
      </c>
      <c r="C22" s="23" t="str">
        <f>IF('Claim Details'!I31=ISBLANK(0),"",'Claim Details'!I31)</f>
        <v/>
      </c>
      <c r="D22" s="23" t="str">
        <f>IF('Claim Details'!K31=ISBLANK(0),"",'Claim Details'!K31)</f>
        <v/>
      </c>
      <c r="E22" s="14" t="str">
        <f>IF(LEN(A22)=0,"",IF(OR(D22='Drop downs'!$D$4,D22='Drop downs'!$D$7,D22='Drop downs'!$D$8),0,IF('Claim Details'!Q31=ISBLANK(0),"",'Claim Details'!Q31)))</f>
        <v/>
      </c>
      <c r="F22" s="14" t="str">
        <f>IF(LEN(A22)=0,"",IF(OR(D22='Drop downs'!$D$4,D22='Drop downs'!$D$7,D22='Drop downs'!$D$8),IF('Claim Details'!Q31=ISBLANK(0),"",'Claim Details'!Q31),0))</f>
        <v/>
      </c>
      <c r="G22" s="167"/>
      <c r="H22" s="14" t="str">
        <f t="shared" si="0"/>
        <v/>
      </c>
      <c r="I22" s="14" t="str">
        <f t="shared" si="1"/>
        <v/>
      </c>
      <c r="J22" s="14" t="str">
        <f t="shared" si="2"/>
        <v/>
      </c>
      <c r="K22" s="14" t="str">
        <f t="shared" si="3"/>
        <v/>
      </c>
      <c r="M22" s="14" t="str">
        <f>IF('Claim Details'!T31=ISBLANK(0),"",'Claim Details'!T31)</f>
        <v/>
      </c>
      <c r="N22" s="14" t="str">
        <f t="shared" si="4"/>
        <v/>
      </c>
      <c r="O22" s="14" t="str">
        <f t="shared" si="5"/>
        <v/>
      </c>
    </row>
    <row r="23" spans="1:15">
      <c r="A23" s="23" t="str">
        <f>IF('Claim Details'!A32=ISBLANK(0),"",'Claim Details'!A32)</f>
        <v/>
      </c>
      <c r="B23" s="173" t="str">
        <f>IF('Claim Details'!F32=ISBLANK(0),"",'Claim Details'!F32)</f>
        <v/>
      </c>
      <c r="C23" s="23" t="str">
        <f>IF('Claim Details'!I32=ISBLANK(0),"",'Claim Details'!I32)</f>
        <v/>
      </c>
      <c r="D23" s="23" t="str">
        <f>IF('Claim Details'!K32=ISBLANK(0),"",'Claim Details'!K32)</f>
        <v/>
      </c>
      <c r="E23" s="14" t="str">
        <f>IF(LEN(A23)=0,"",IF(OR(D23='Drop downs'!$D$4,D23='Drop downs'!$D$7,D23='Drop downs'!$D$8),0,IF('Claim Details'!Q32=ISBLANK(0),"",'Claim Details'!Q32)))</f>
        <v/>
      </c>
      <c r="F23" s="14" t="str">
        <f>IF(LEN(A23)=0,"",IF(OR(D23='Drop downs'!$D$4,D23='Drop downs'!$D$7,D23='Drop downs'!$D$8),IF('Claim Details'!Q32=ISBLANK(0),"",'Claim Details'!Q32),0))</f>
        <v/>
      </c>
      <c r="G23" s="167"/>
      <c r="H23" s="14" t="str">
        <f t="shared" si="0"/>
        <v/>
      </c>
      <c r="I23" s="14" t="str">
        <f t="shared" si="1"/>
        <v/>
      </c>
      <c r="J23" s="14" t="str">
        <f t="shared" si="2"/>
        <v/>
      </c>
      <c r="K23" s="14" t="str">
        <f t="shared" si="3"/>
        <v/>
      </c>
      <c r="M23" s="14" t="str">
        <f>IF('Claim Details'!T32=ISBLANK(0),"",'Claim Details'!T32)</f>
        <v/>
      </c>
      <c r="N23" s="14" t="str">
        <f t="shared" si="4"/>
        <v/>
      </c>
      <c r="O23" s="14" t="str">
        <f t="shared" si="5"/>
        <v/>
      </c>
    </row>
    <row r="24" spans="1:15">
      <c r="A24" s="23" t="str">
        <f>IF('Claim Details'!A33=ISBLANK(0),"",'Claim Details'!A33)</f>
        <v/>
      </c>
      <c r="B24" s="173" t="str">
        <f>IF('Claim Details'!F33=ISBLANK(0),"",'Claim Details'!F33)</f>
        <v/>
      </c>
      <c r="C24" s="23" t="str">
        <f>IF('Claim Details'!I33=ISBLANK(0),"",'Claim Details'!I33)</f>
        <v/>
      </c>
      <c r="D24" s="23" t="str">
        <f>IF('Claim Details'!K33=ISBLANK(0),"",'Claim Details'!K33)</f>
        <v/>
      </c>
      <c r="E24" s="14" t="str">
        <f>IF(LEN(A24)=0,"",IF(OR(D24='Drop downs'!$D$4,D24='Drop downs'!$D$7,D24='Drop downs'!$D$8),0,IF('Claim Details'!Q33=ISBLANK(0),"",'Claim Details'!Q33)))</f>
        <v/>
      </c>
      <c r="F24" s="14" t="str">
        <f>IF(LEN(A24)=0,"",IF(OR(D24='Drop downs'!$D$4,D24='Drop downs'!$D$7,D24='Drop downs'!$D$8),IF('Claim Details'!Q33=ISBLANK(0),"",'Claim Details'!Q33),0))</f>
        <v/>
      </c>
      <c r="G24" s="167"/>
      <c r="H24" s="14" t="str">
        <f t="shared" si="0"/>
        <v/>
      </c>
      <c r="I24" s="14" t="str">
        <f t="shared" si="1"/>
        <v/>
      </c>
      <c r="J24" s="14" t="str">
        <f t="shared" si="2"/>
        <v/>
      </c>
      <c r="K24" s="14" t="str">
        <f t="shared" si="3"/>
        <v/>
      </c>
      <c r="M24" s="14" t="str">
        <f>IF('Claim Details'!T33=ISBLANK(0),"",'Claim Details'!T33)</f>
        <v/>
      </c>
      <c r="N24" s="14" t="str">
        <f t="shared" si="4"/>
        <v/>
      </c>
      <c r="O24" s="14" t="str">
        <f t="shared" si="5"/>
        <v/>
      </c>
    </row>
    <row r="25" spans="1:15">
      <c r="A25" s="23" t="str">
        <f>IF('Claim Details'!A34=ISBLANK(0),"",'Claim Details'!A34)</f>
        <v/>
      </c>
      <c r="B25" s="173" t="str">
        <f>IF('Claim Details'!F34=ISBLANK(0),"",'Claim Details'!F34)</f>
        <v/>
      </c>
      <c r="C25" s="23" t="str">
        <f>IF('Claim Details'!I34=ISBLANK(0),"",'Claim Details'!I34)</f>
        <v/>
      </c>
      <c r="D25" s="23" t="str">
        <f>IF('Claim Details'!K34=ISBLANK(0),"",'Claim Details'!K34)</f>
        <v/>
      </c>
      <c r="E25" s="14" t="str">
        <f>IF(LEN(A25)=0,"",IF(OR(D25='Drop downs'!$D$4,D25='Drop downs'!$D$7,D25='Drop downs'!$D$8),0,IF('Claim Details'!Q34=ISBLANK(0),"",'Claim Details'!Q34)))</f>
        <v/>
      </c>
      <c r="F25" s="14" t="str">
        <f>IF(LEN(A25)=0,"",IF(OR(D25='Drop downs'!$D$4,D25='Drop downs'!$D$7,D25='Drop downs'!$D$8),IF('Claim Details'!Q34=ISBLANK(0),"",'Claim Details'!Q34),0))</f>
        <v/>
      </c>
      <c r="G25" s="167"/>
      <c r="H25" s="14" t="str">
        <f t="shared" si="0"/>
        <v/>
      </c>
      <c r="I25" s="14" t="str">
        <f t="shared" si="1"/>
        <v/>
      </c>
      <c r="J25" s="14" t="str">
        <f t="shared" si="2"/>
        <v/>
      </c>
      <c r="K25" s="14" t="str">
        <f t="shared" si="3"/>
        <v/>
      </c>
      <c r="M25" s="14" t="str">
        <f>IF('Claim Details'!T34=ISBLANK(0),"",'Claim Details'!T34)</f>
        <v/>
      </c>
      <c r="N25" s="14" t="str">
        <f t="shared" si="4"/>
        <v/>
      </c>
      <c r="O25" s="14" t="str">
        <f t="shared" si="5"/>
        <v/>
      </c>
    </row>
    <row r="26" spans="1:15">
      <c r="A26" s="23" t="str">
        <f>IF('Claim Details'!A35=ISBLANK(0),"",'Claim Details'!A35)</f>
        <v/>
      </c>
      <c r="B26" s="173" t="str">
        <f>IF('Claim Details'!F35=ISBLANK(0),"",'Claim Details'!F35)</f>
        <v/>
      </c>
      <c r="C26" s="23" t="str">
        <f>IF('Claim Details'!I35=ISBLANK(0),"",'Claim Details'!I35)</f>
        <v/>
      </c>
      <c r="D26" s="23" t="str">
        <f>IF('Claim Details'!K35=ISBLANK(0),"",'Claim Details'!K35)</f>
        <v/>
      </c>
      <c r="E26" s="14" t="str">
        <f>IF(LEN(A26)=0,"",IF(OR(D26='Drop downs'!$D$4,D26='Drop downs'!$D$7,D26='Drop downs'!$D$8),0,IF('Claim Details'!Q35=ISBLANK(0),"",'Claim Details'!Q35)))</f>
        <v/>
      </c>
      <c r="F26" s="14" t="str">
        <f>IF(LEN(A26)=0,"",IF(OR(D26='Drop downs'!$D$4,D26='Drop downs'!$D$7,D26='Drop downs'!$D$8),IF('Claim Details'!Q35=ISBLANK(0),"",'Claim Details'!Q35),0))</f>
        <v/>
      </c>
      <c r="G26" s="167"/>
      <c r="H26" s="14" t="str">
        <f t="shared" si="0"/>
        <v/>
      </c>
      <c r="I26" s="14" t="str">
        <f t="shared" si="1"/>
        <v/>
      </c>
      <c r="J26" s="14" t="str">
        <f t="shared" si="2"/>
        <v/>
      </c>
      <c r="K26" s="14" t="str">
        <f t="shared" si="3"/>
        <v/>
      </c>
      <c r="M26" s="14" t="str">
        <f>IF('Claim Details'!T35=ISBLANK(0),"",'Claim Details'!T35)</f>
        <v/>
      </c>
      <c r="N26" s="14" t="str">
        <f t="shared" si="4"/>
        <v/>
      </c>
      <c r="O26" s="14" t="str">
        <f t="shared" si="5"/>
        <v/>
      </c>
    </row>
    <row r="27" spans="1:15">
      <c r="A27" s="23" t="str">
        <f>IF('Claim Details'!A36=ISBLANK(0),"",'Claim Details'!A36)</f>
        <v/>
      </c>
      <c r="B27" s="173" t="str">
        <f>IF('Claim Details'!F36=ISBLANK(0),"",'Claim Details'!F36)</f>
        <v/>
      </c>
      <c r="C27" s="23" t="str">
        <f>IF('Claim Details'!I36=ISBLANK(0),"",'Claim Details'!I36)</f>
        <v/>
      </c>
      <c r="D27" s="23" t="str">
        <f>IF('Claim Details'!K36=ISBLANK(0),"",'Claim Details'!K36)</f>
        <v/>
      </c>
      <c r="E27" s="14" t="str">
        <f>IF(LEN(A27)=0,"",IF(OR(D27='Drop downs'!$D$4,D27='Drop downs'!$D$7,D27='Drop downs'!$D$8),0,IF('Claim Details'!Q36=ISBLANK(0),"",'Claim Details'!Q36)))</f>
        <v/>
      </c>
      <c r="F27" s="14" t="str">
        <f>IF(LEN(A27)=0,"",IF(OR(D27='Drop downs'!$D$4,D27='Drop downs'!$D$7,D27='Drop downs'!$D$8),IF('Claim Details'!Q36=ISBLANK(0),"",'Claim Details'!Q36),0))</f>
        <v/>
      </c>
      <c r="G27" s="167"/>
      <c r="H27" s="14" t="str">
        <f t="shared" si="0"/>
        <v/>
      </c>
      <c r="I27" s="14" t="str">
        <f t="shared" si="1"/>
        <v/>
      </c>
      <c r="J27" s="14" t="str">
        <f t="shared" si="2"/>
        <v/>
      </c>
      <c r="K27" s="14" t="str">
        <f t="shared" si="3"/>
        <v/>
      </c>
      <c r="M27" s="14" t="str">
        <f>IF('Claim Details'!T36=ISBLANK(0),"",'Claim Details'!T36)</f>
        <v/>
      </c>
      <c r="N27" s="14" t="str">
        <f t="shared" si="4"/>
        <v/>
      </c>
      <c r="O27" s="14" t="str">
        <f t="shared" si="5"/>
        <v/>
      </c>
    </row>
    <row r="28" spans="1:15">
      <c r="A28" s="23" t="str">
        <f>IF('Claim Details'!A37=ISBLANK(0),"",'Claim Details'!A37)</f>
        <v/>
      </c>
      <c r="B28" s="173" t="str">
        <f>IF('Claim Details'!F37=ISBLANK(0),"",'Claim Details'!F37)</f>
        <v/>
      </c>
      <c r="C28" s="23" t="str">
        <f>IF('Claim Details'!I37=ISBLANK(0),"",'Claim Details'!I37)</f>
        <v/>
      </c>
      <c r="D28" s="23" t="str">
        <f>IF('Claim Details'!K37=ISBLANK(0),"",'Claim Details'!K37)</f>
        <v/>
      </c>
      <c r="E28" s="14" t="str">
        <f>IF(LEN(A28)=0,"",IF(OR(D28='Drop downs'!$D$4,D28='Drop downs'!$D$7,D28='Drop downs'!$D$8),0,IF('Claim Details'!Q37=ISBLANK(0),"",'Claim Details'!Q37)))</f>
        <v/>
      </c>
      <c r="F28" s="14" t="str">
        <f>IF(LEN(A28)=0,"",IF(OR(D28='Drop downs'!$D$4,D28='Drop downs'!$D$7,D28='Drop downs'!$D$8),IF('Claim Details'!Q37=ISBLANK(0),"",'Claim Details'!Q37),0))</f>
        <v/>
      </c>
      <c r="G28" s="167"/>
      <c r="H28" s="14" t="str">
        <f t="shared" si="0"/>
        <v/>
      </c>
      <c r="I28" s="14" t="str">
        <f t="shared" si="1"/>
        <v/>
      </c>
      <c r="J28" s="14" t="str">
        <f t="shared" si="2"/>
        <v/>
      </c>
      <c r="K28" s="14" t="str">
        <f t="shared" si="3"/>
        <v/>
      </c>
      <c r="M28" s="14" t="str">
        <f>IF('Claim Details'!T37=ISBLANK(0),"",'Claim Details'!T37)</f>
        <v/>
      </c>
      <c r="N28" s="14" t="str">
        <f t="shared" si="4"/>
        <v/>
      </c>
      <c r="O28" s="14" t="str">
        <f t="shared" si="5"/>
        <v/>
      </c>
    </row>
    <row r="29" spans="1:15">
      <c r="A29" s="23" t="str">
        <f>IF('Claim Details'!A38=ISBLANK(0),"",'Claim Details'!A38)</f>
        <v/>
      </c>
      <c r="B29" s="173" t="str">
        <f>IF('Claim Details'!F38=ISBLANK(0),"",'Claim Details'!F38)</f>
        <v/>
      </c>
      <c r="C29" s="23" t="str">
        <f>IF('Claim Details'!I38=ISBLANK(0),"",'Claim Details'!I38)</f>
        <v/>
      </c>
      <c r="D29" s="23" t="str">
        <f>IF('Claim Details'!K38=ISBLANK(0),"",'Claim Details'!K38)</f>
        <v/>
      </c>
      <c r="E29" s="14" t="str">
        <f>IF(LEN(A29)=0,"",IF(OR(D29='Drop downs'!$D$4,D29='Drop downs'!$D$7,D29='Drop downs'!$D$8),0,IF('Claim Details'!Q38=ISBLANK(0),"",'Claim Details'!Q38)))</f>
        <v/>
      </c>
      <c r="F29" s="14" t="str">
        <f>IF(LEN(A29)=0,"",IF(OR(D29='Drop downs'!$D$4,D29='Drop downs'!$D$7,D29='Drop downs'!$D$8),IF('Claim Details'!Q38=ISBLANK(0),"",'Claim Details'!Q38),0))</f>
        <v/>
      </c>
      <c r="G29" s="167"/>
      <c r="H29" s="14" t="str">
        <f t="shared" si="0"/>
        <v/>
      </c>
      <c r="I29" s="14" t="str">
        <f t="shared" si="1"/>
        <v/>
      </c>
      <c r="J29" s="14" t="str">
        <f t="shared" si="2"/>
        <v/>
      </c>
      <c r="K29" s="14" t="str">
        <f t="shared" si="3"/>
        <v/>
      </c>
      <c r="M29" s="14" t="str">
        <f>IF('Claim Details'!T38=ISBLANK(0),"",'Claim Details'!T38)</f>
        <v/>
      </c>
      <c r="N29" s="14" t="str">
        <f t="shared" si="4"/>
        <v/>
      </c>
      <c r="O29" s="14" t="str">
        <f t="shared" si="5"/>
        <v/>
      </c>
    </row>
    <row r="30" spans="1:15">
      <c r="A30" s="23" t="str">
        <f>IF('Claim Details'!A39=ISBLANK(0),"",'Claim Details'!A39)</f>
        <v/>
      </c>
      <c r="B30" s="173" t="str">
        <f>IF('Claim Details'!F39=ISBLANK(0),"",'Claim Details'!F39)</f>
        <v/>
      </c>
      <c r="C30" s="23" t="str">
        <f>IF('Claim Details'!I39=ISBLANK(0),"",'Claim Details'!I39)</f>
        <v/>
      </c>
      <c r="D30" s="23" t="str">
        <f>IF('Claim Details'!K39=ISBLANK(0),"",'Claim Details'!K39)</f>
        <v/>
      </c>
      <c r="E30" s="14" t="str">
        <f>IF(LEN(A30)=0,"",IF(OR(D30='Drop downs'!$D$4,D30='Drop downs'!$D$7,D30='Drop downs'!$D$8),0,IF('Claim Details'!Q39=ISBLANK(0),"",'Claim Details'!Q39)))</f>
        <v/>
      </c>
      <c r="F30" s="14" t="str">
        <f>IF(LEN(A30)=0,"",IF(OR(D30='Drop downs'!$D$4,D30='Drop downs'!$D$7,D30='Drop downs'!$D$8),IF('Claim Details'!Q39=ISBLANK(0),"",'Claim Details'!Q39),0))</f>
        <v/>
      </c>
      <c r="G30" s="167"/>
      <c r="H30" s="14" t="str">
        <f t="shared" si="0"/>
        <v/>
      </c>
      <c r="I30" s="14" t="str">
        <f t="shared" si="1"/>
        <v/>
      </c>
      <c r="J30" s="14" t="str">
        <f t="shared" si="2"/>
        <v/>
      </c>
      <c r="K30" s="14" t="str">
        <f t="shared" si="3"/>
        <v/>
      </c>
      <c r="M30" s="14" t="str">
        <f>IF('Claim Details'!T39=ISBLANK(0),"",'Claim Details'!T39)</f>
        <v/>
      </c>
      <c r="N30" s="14" t="str">
        <f t="shared" si="4"/>
        <v/>
      </c>
      <c r="O30" s="14" t="str">
        <f t="shared" si="5"/>
        <v/>
      </c>
    </row>
    <row r="31" spans="1:15">
      <c r="A31" s="23" t="str">
        <f>IF('Claim Details'!A40=ISBLANK(0),"",'Claim Details'!A40)</f>
        <v/>
      </c>
      <c r="B31" s="173" t="str">
        <f>IF('Claim Details'!F40=ISBLANK(0),"",'Claim Details'!F40)</f>
        <v/>
      </c>
      <c r="C31" s="23" t="str">
        <f>IF('Claim Details'!I40=ISBLANK(0),"",'Claim Details'!I40)</f>
        <v/>
      </c>
      <c r="D31" s="23" t="str">
        <f>IF('Claim Details'!K40=ISBLANK(0),"",'Claim Details'!K40)</f>
        <v/>
      </c>
      <c r="E31" s="14" t="str">
        <f>IF(LEN(A31)=0,"",IF(OR(D31='Drop downs'!$D$4,D31='Drop downs'!$D$7,D31='Drop downs'!$D$8),0,IF('Claim Details'!Q40=ISBLANK(0),"",'Claim Details'!Q40)))</f>
        <v/>
      </c>
      <c r="F31" s="14" t="str">
        <f>IF(LEN(A31)=0,"",IF(OR(D31='Drop downs'!$D$4,D31='Drop downs'!$D$7,D31='Drop downs'!$D$8),IF('Claim Details'!Q40=ISBLANK(0),"",'Claim Details'!Q40),0))</f>
        <v/>
      </c>
      <c r="G31" s="167"/>
      <c r="H31" s="14" t="str">
        <f t="shared" si="0"/>
        <v/>
      </c>
      <c r="I31" s="14" t="str">
        <f t="shared" si="1"/>
        <v/>
      </c>
      <c r="J31" s="14" t="str">
        <f t="shared" si="2"/>
        <v/>
      </c>
      <c r="K31" s="14" t="str">
        <f t="shared" si="3"/>
        <v/>
      </c>
      <c r="M31" s="14" t="str">
        <f>IF('Claim Details'!T40=ISBLANK(0),"",'Claim Details'!T40)</f>
        <v/>
      </c>
      <c r="N31" s="14" t="str">
        <f t="shared" si="4"/>
        <v/>
      </c>
      <c r="O31" s="14" t="str">
        <f t="shared" si="5"/>
        <v/>
      </c>
    </row>
    <row r="32" spans="1:15">
      <c r="A32" s="23" t="str">
        <f>IF('Claim Details'!A41=ISBLANK(0),"",'Claim Details'!A41)</f>
        <v/>
      </c>
      <c r="B32" s="173" t="str">
        <f>IF('Claim Details'!F41=ISBLANK(0),"",'Claim Details'!F41)</f>
        <v/>
      </c>
      <c r="C32" s="23" t="str">
        <f>IF('Claim Details'!I41=ISBLANK(0),"",'Claim Details'!I41)</f>
        <v/>
      </c>
      <c r="D32" s="23" t="str">
        <f>IF('Claim Details'!K41=ISBLANK(0),"",'Claim Details'!K41)</f>
        <v/>
      </c>
      <c r="E32" s="14" t="str">
        <f>IF(LEN(A32)=0,"",IF(OR(D32='Drop downs'!$D$4,D32='Drop downs'!$D$7,D32='Drop downs'!$D$8),0,IF('Claim Details'!Q41=ISBLANK(0),"",'Claim Details'!Q41)))</f>
        <v/>
      </c>
      <c r="F32" s="14" t="str">
        <f>IF(LEN(A32)=0,"",IF(OR(D32='Drop downs'!$D$4,D32='Drop downs'!$D$7,D32='Drop downs'!$D$8),IF('Claim Details'!Q41=ISBLANK(0),"",'Claim Details'!Q41),0))</f>
        <v/>
      </c>
      <c r="G32" s="167"/>
      <c r="H32" s="14" t="str">
        <f t="shared" si="0"/>
        <v/>
      </c>
      <c r="I32" s="14" t="str">
        <f t="shared" si="1"/>
        <v/>
      </c>
      <c r="J32" s="14" t="str">
        <f t="shared" si="2"/>
        <v/>
      </c>
      <c r="K32" s="14" t="str">
        <f t="shared" si="3"/>
        <v/>
      </c>
      <c r="M32" s="14" t="str">
        <f>IF('Claim Details'!T41=ISBLANK(0),"",'Claim Details'!T41)</f>
        <v/>
      </c>
      <c r="N32" s="14" t="str">
        <f t="shared" si="4"/>
        <v/>
      </c>
      <c r="O32" s="14" t="str">
        <f t="shared" si="5"/>
        <v/>
      </c>
    </row>
    <row r="33" spans="1:15">
      <c r="A33" s="23" t="str">
        <f>IF('Claim Details'!A42=ISBLANK(0),"",'Claim Details'!A42)</f>
        <v/>
      </c>
      <c r="B33" s="173" t="str">
        <f>IF('Claim Details'!F42=ISBLANK(0),"",'Claim Details'!F42)</f>
        <v/>
      </c>
      <c r="C33" s="23" t="str">
        <f>IF('Claim Details'!I42=ISBLANK(0),"",'Claim Details'!I42)</f>
        <v/>
      </c>
      <c r="D33" s="23" t="str">
        <f>IF('Claim Details'!K42=ISBLANK(0),"",'Claim Details'!K42)</f>
        <v/>
      </c>
      <c r="E33" s="14" t="str">
        <f>IF(LEN(A33)=0,"",IF(OR(D33='Drop downs'!$D$4,D33='Drop downs'!$D$7,D33='Drop downs'!$D$8),0,IF('Claim Details'!Q42=ISBLANK(0),"",'Claim Details'!Q42)))</f>
        <v/>
      </c>
      <c r="F33" s="14" t="str">
        <f>IF(LEN(A33)=0,"",IF(OR(D33='Drop downs'!$D$4,D33='Drop downs'!$D$7,D33='Drop downs'!$D$8),IF('Claim Details'!Q42=ISBLANK(0),"",'Claim Details'!Q42),0))</f>
        <v/>
      </c>
      <c r="G33" s="167"/>
      <c r="H33" s="14" t="str">
        <f t="shared" si="0"/>
        <v/>
      </c>
      <c r="I33" s="14" t="str">
        <f t="shared" si="1"/>
        <v/>
      </c>
      <c r="J33" s="14" t="str">
        <f t="shared" si="2"/>
        <v/>
      </c>
      <c r="K33" s="14" t="str">
        <f t="shared" si="3"/>
        <v/>
      </c>
      <c r="M33" s="14" t="str">
        <f>IF('Claim Details'!T42=ISBLANK(0),"",'Claim Details'!T42)</f>
        <v/>
      </c>
      <c r="N33" s="14" t="str">
        <f t="shared" si="4"/>
        <v/>
      </c>
      <c r="O33" s="14" t="str">
        <f t="shared" si="5"/>
        <v/>
      </c>
    </row>
    <row r="34" spans="1:15">
      <c r="A34" s="23" t="str">
        <f>IF('Claim Details'!A43=ISBLANK(0),"",'Claim Details'!A43)</f>
        <v/>
      </c>
      <c r="B34" s="173" t="str">
        <f>IF('Claim Details'!F43=ISBLANK(0),"",'Claim Details'!F43)</f>
        <v/>
      </c>
      <c r="C34" s="23" t="str">
        <f>IF('Claim Details'!I43=ISBLANK(0),"",'Claim Details'!I43)</f>
        <v/>
      </c>
      <c r="D34" s="23" t="str">
        <f>IF('Claim Details'!K43=ISBLANK(0),"",'Claim Details'!K43)</f>
        <v/>
      </c>
      <c r="E34" s="14" t="str">
        <f>IF(LEN(A34)=0,"",IF(OR(D34='Drop downs'!$D$4,D34='Drop downs'!$D$7,D34='Drop downs'!$D$8),0,IF('Claim Details'!Q43=ISBLANK(0),"",'Claim Details'!Q43)))</f>
        <v/>
      </c>
      <c r="F34" s="14" t="str">
        <f>IF(LEN(A34)=0,"",IF(OR(D34='Drop downs'!$D$4,D34='Drop downs'!$D$7,D34='Drop downs'!$D$8),IF('Claim Details'!Q43=ISBLANK(0),"",'Claim Details'!Q43),0))</f>
        <v/>
      </c>
      <c r="G34" s="167"/>
      <c r="H34" s="14" t="str">
        <f t="shared" si="0"/>
        <v/>
      </c>
      <c r="I34" s="14" t="str">
        <f t="shared" si="1"/>
        <v/>
      </c>
      <c r="J34" s="14" t="str">
        <f t="shared" si="2"/>
        <v/>
      </c>
      <c r="K34" s="14" t="str">
        <f t="shared" si="3"/>
        <v/>
      </c>
      <c r="M34" s="14" t="str">
        <f>IF('Claim Details'!T43=ISBLANK(0),"",'Claim Details'!T43)</f>
        <v/>
      </c>
      <c r="N34" s="14" t="str">
        <f t="shared" si="4"/>
        <v/>
      </c>
      <c r="O34" s="14" t="str">
        <f t="shared" si="5"/>
        <v/>
      </c>
    </row>
    <row r="35" spans="1:15">
      <c r="A35" s="23" t="str">
        <f>IF('Claim Details'!A44=ISBLANK(0),"",'Claim Details'!A44)</f>
        <v/>
      </c>
      <c r="B35" s="173" t="str">
        <f>IF('Claim Details'!F44=ISBLANK(0),"",'Claim Details'!F44)</f>
        <v/>
      </c>
      <c r="C35" s="23" t="str">
        <f>IF('Claim Details'!I44=ISBLANK(0),"",'Claim Details'!I44)</f>
        <v/>
      </c>
      <c r="D35" s="23" t="str">
        <f>IF('Claim Details'!K44=ISBLANK(0),"",'Claim Details'!K44)</f>
        <v/>
      </c>
      <c r="E35" s="14" t="str">
        <f>IF(LEN(A35)=0,"",IF(OR(D35='Drop downs'!$D$4,D35='Drop downs'!$D$7,D35='Drop downs'!$D$8),0,IF('Claim Details'!Q44=ISBLANK(0),"",'Claim Details'!Q44)))</f>
        <v/>
      </c>
      <c r="F35" s="14" t="str">
        <f>IF(LEN(A35)=0,"",IF(OR(D35='Drop downs'!$D$4,D35='Drop downs'!$D$7,D35='Drop downs'!$D$8),IF('Claim Details'!Q44=ISBLANK(0),"",'Claim Details'!Q44),0))</f>
        <v/>
      </c>
      <c r="G35" s="167"/>
      <c r="H35" s="14" t="str">
        <f t="shared" si="0"/>
        <v/>
      </c>
      <c r="I35" s="14" t="str">
        <f t="shared" si="1"/>
        <v/>
      </c>
      <c r="J35" s="14" t="str">
        <f t="shared" si="2"/>
        <v/>
      </c>
      <c r="K35" s="14" t="str">
        <f t="shared" si="3"/>
        <v/>
      </c>
      <c r="M35" s="14" t="str">
        <f>IF('Claim Details'!T44=ISBLANK(0),"",'Claim Details'!T44)</f>
        <v/>
      </c>
      <c r="N35" s="14" t="str">
        <f t="shared" si="4"/>
        <v/>
      </c>
      <c r="O35" s="14" t="str">
        <f t="shared" si="5"/>
        <v/>
      </c>
    </row>
    <row r="36" spans="1:15">
      <c r="A36" s="23" t="str">
        <f>IF('Claim Details'!A45=ISBLANK(0),"",'Claim Details'!A45)</f>
        <v/>
      </c>
      <c r="B36" s="173" t="str">
        <f>IF('Claim Details'!F45=ISBLANK(0),"",'Claim Details'!F45)</f>
        <v/>
      </c>
      <c r="C36" s="23" t="str">
        <f>IF('Claim Details'!I45=ISBLANK(0),"",'Claim Details'!I45)</f>
        <v/>
      </c>
      <c r="D36" s="23" t="str">
        <f>IF('Claim Details'!K45=ISBLANK(0),"",'Claim Details'!K45)</f>
        <v/>
      </c>
      <c r="E36" s="14" t="str">
        <f>IF(LEN(A36)=0,"",IF(OR(D36='Drop downs'!$D$4,D36='Drop downs'!$D$7,D36='Drop downs'!$D$8),0,IF('Claim Details'!Q45=ISBLANK(0),"",'Claim Details'!Q45)))</f>
        <v/>
      </c>
      <c r="F36" s="14" t="str">
        <f>IF(LEN(A36)=0,"",IF(OR(D36='Drop downs'!$D$4,D36='Drop downs'!$D$7,D36='Drop downs'!$D$8),IF('Claim Details'!Q45=ISBLANK(0),"",'Claim Details'!Q45),0))</f>
        <v/>
      </c>
      <c r="G36" s="167"/>
      <c r="H36" s="14" t="str">
        <f t="shared" si="0"/>
        <v/>
      </c>
      <c r="I36" s="14" t="str">
        <f t="shared" si="1"/>
        <v/>
      </c>
      <c r="J36" s="14" t="str">
        <f t="shared" si="2"/>
        <v/>
      </c>
      <c r="K36" s="14" t="str">
        <f t="shared" si="3"/>
        <v/>
      </c>
      <c r="M36" s="14" t="str">
        <f>IF('Claim Details'!T45=ISBLANK(0),"",'Claim Details'!T45)</f>
        <v/>
      </c>
      <c r="N36" s="14" t="str">
        <f t="shared" si="4"/>
        <v/>
      </c>
      <c r="O36" s="14" t="str">
        <f t="shared" si="5"/>
        <v/>
      </c>
    </row>
    <row r="37" spans="1:15">
      <c r="A37" s="23" t="str">
        <f>IF('Claim Details'!A46=ISBLANK(0),"",'Claim Details'!A46)</f>
        <v/>
      </c>
      <c r="B37" s="173" t="str">
        <f>IF('Claim Details'!F46=ISBLANK(0),"",'Claim Details'!F46)</f>
        <v/>
      </c>
      <c r="C37" s="23" t="str">
        <f>IF('Claim Details'!I46=ISBLANK(0),"",'Claim Details'!I46)</f>
        <v/>
      </c>
      <c r="D37" s="23" t="str">
        <f>IF('Claim Details'!K46=ISBLANK(0),"",'Claim Details'!K46)</f>
        <v/>
      </c>
      <c r="E37" s="14" t="str">
        <f>IF(LEN(A37)=0,"",IF(OR(D37='Drop downs'!$D$4,D37='Drop downs'!$D$7,D37='Drop downs'!$D$8),0,IF('Claim Details'!Q46=ISBLANK(0),"",'Claim Details'!Q46)))</f>
        <v/>
      </c>
      <c r="F37" s="14" t="str">
        <f>IF(LEN(A37)=0,"",IF(OR(D37='Drop downs'!$D$4,D37='Drop downs'!$D$7,D37='Drop downs'!$D$8),IF('Claim Details'!Q46=ISBLANK(0),"",'Claim Details'!Q46),0))</f>
        <v/>
      </c>
      <c r="G37" s="167"/>
      <c r="H37" s="14" t="str">
        <f t="shared" si="0"/>
        <v/>
      </c>
      <c r="I37" s="14" t="str">
        <f t="shared" si="1"/>
        <v/>
      </c>
      <c r="J37" s="14" t="str">
        <f t="shared" si="2"/>
        <v/>
      </c>
      <c r="K37" s="14" t="str">
        <f t="shared" si="3"/>
        <v/>
      </c>
      <c r="M37" s="14" t="str">
        <f>IF('Claim Details'!T46=ISBLANK(0),"",'Claim Details'!T46)</f>
        <v/>
      </c>
      <c r="N37" s="14" t="str">
        <f t="shared" si="4"/>
        <v/>
      </c>
      <c r="O37" s="14" t="str">
        <f t="shared" si="5"/>
        <v/>
      </c>
    </row>
    <row r="38" spans="1:15">
      <c r="A38" s="23" t="str">
        <f>IF('Claim Details'!A47=ISBLANK(0),"",'Claim Details'!A47)</f>
        <v/>
      </c>
      <c r="B38" s="173" t="str">
        <f>IF('Claim Details'!F47=ISBLANK(0),"",'Claim Details'!F47)</f>
        <v/>
      </c>
      <c r="C38" s="23" t="str">
        <f>IF('Claim Details'!I47=ISBLANK(0),"",'Claim Details'!I47)</f>
        <v/>
      </c>
      <c r="D38" s="23" t="str">
        <f>IF('Claim Details'!K47=ISBLANK(0),"",'Claim Details'!K47)</f>
        <v/>
      </c>
      <c r="E38" s="14" t="str">
        <f>IF(LEN(A38)=0,"",IF(OR(D38='Drop downs'!$D$4,D38='Drop downs'!$D$7,D38='Drop downs'!$D$8),0,IF('Claim Details'!Q47=ISBLANK(0),"",'Claim Details'!Q47)))</f>
        <v/>
      </c>
      <c r="F38" s="14" t="str">
        <f>IF(LEN(A38)=0,"",IF(OR(D38='Drop downs'!$D$4,D38='Drop downs'!$D$7,D38='Drop downs'!$D$8),IF('Claim Details'!Q47=ISBLANK(0),"",'Claim Details'!Q47),0))</f>
        <v/>
      </c>
      <c r="G38" s="167"/>
      <c r="H38" s="14" t="str">
        <f t="shared" si="0"/>
        <v/>
      </c>
      <c r="I38" s="14" t="str">
        <f t="shared" si="1"/>
        <v/>
      </c>
      <c r="J38" s="14" t="str">
        <f t="shared" si="2"/>
        <v/>
      </c>
      <c r="K38" s="14" t="str">
        <f t="shared" si="3"/>
        <v/>
      </c>
      <c r="M38" s="14" t="str">
        <f>IF('Claim Details'!T47=ISBLANK(0),"",'Claim Details'!T47)</f>
        <v/>
      </c>
      <c r="N38" s="14" t="str">
        <f t="shared" si="4"/>
        <v/>
      </c>
      <c r="O38" s="14" t="str">
        <f t="shared" si="5"/>
        <v/>
      </c>
    </row>
    <row r="39" spans="1:15">
      <c r="A39" s="23" t="str">
        <f>IF('Claim Details'!A48=ISBLANK(0),"",'Claim Details'!A48)</f>
        <v/>
      </c>
      <c r="B39" s="173" t="str">
        <f>IF('Claim Details'!F48=ISBLANK(0),"",'Claim Details'!F48)</f>
        <v/>
      </c>
      <c r="C39" s="23" t="str">
        <f>IF('Claim Details'!I48=ISBLANK(0),"",'Claim Details'!I48)</f>
        <v/>
      </c>
      <c r="D39" s="23" t="str">
        <f>IF('Claim Details'!K48=ISBLANK(0),"",'Claim Details'!K48)</f>
        <v/>
      </c>
      <c r="E39" s="14" t="str">
        <f>IF(LEN(A39)=0,"",IF(OR(D39='Drop downs'!$D$4,D39='Drop downs'!$D$7,D39='Drop downs'!$D$8),0,IF('Claim Details'!Q48=ISBLANK(0),"",'Claim Details'!Q48)))</f>
        <v/>
      </c>
      <c r="F39" s="14" t="str">
        <f>IF(LEN(A39)=0,"",IF(OR(D39='Drop downs'!$D$4,D39='Drop downs'!$D$7,D39='Drop downs'!$D$8),IF('Claim Details'!Q48=ISBLANK(0),"",'Claim Details'!Q48),0))</f>
        <v/>
      </c>
      <c r="G39" s="167"/>
      <c r="H39" s="14" t="str">
        <f t="shared" si="0"/>
        <v/>
      </c>
      <c r="I39" s="14" t="str">
        <f t="shared" si="1"/>
        <v/>
      </c>
      <c r="J39" s="14" t="str">
        <f t="shared" si="2"/>
        <v/>
      </c>
      <c r="K39" s="14" t="str">
        <f t="shared" si="3"/>
        <v/>
      </c>
      <c r="M39" s="14" t="str">
        <f>IF('Claim Details'!T48=ISBLANK(0),"",'Claim Details'!T48)</f>
        <v/>
      </c>
      <c r="N39" s="14" t="str">
        <f t="shared" si="4"/>
        <v/>
      </c>
      <c r="O39" s="14" t="str">
        <f t="shared" si="5"/>
        <v/>
      </c>
    </row>
    <row r="40" spans="1:15">
      <c r="A40" s="23" t="str">
        <f>IF('Claim Details'!A49=ISBLANK(0),"",'Claim Details'!A49)</f>
        <v/>
      </c>
      <c r="B40" s="173" t="str">
        <f>IF('Claim Details'!F49=ISBLANK(0),"",'Claim Details'!F49)</f>
        <v/>
      </c>
      <c r="C40" s="23" t="str">
        <f>IF('Claim Details'!I49=ISBLANK(0),"",'Claim Details'!I49)</f>
        <v/>
      </c>
      <c r="D40" s="23" t="str">
        <f>IF('Claim Details'!K49=ISBLANK(0),"",'Claim Details'!K49)</f>
        <v/>
      </c>
      <c r="E40" s="14" t="str">
        <f>IF(LEN(A40)=0,"",IF(OR(D40='Drop downs'!$D$4,D40='Drop downs'!$D$7,D40='Drop downs'!$D$8),0,IF('Claim Details'!Q49=ISBLANK(0),"",'Claim Details'!Q49)))</f>
        <v/>
      </c>
      <c r="F40" s="14" t="str">
        <f>IF(LEN(A40)=0,"",IF(OR(D40='Drop downs'!$D$4,D40='Drop downs'!$D$7,D40='Drop downs'!$D$8),IF('Claim Details'!Q49=ISBLANK(0),"",'Claim Details'!Q49),0))</f>
        <v/>
      </c>
      <c r="G40" s="167"/>
      <c r="H40" s="14" t="str">
        <f t="shared" si="0"/>
        <v/>
      </c>
      <c r="I40" s="14" t="str">
        <f t="shared" si="1"/>
        <v/>
      </c>
      <c r="J40" s="14" t="str">
        <f t="shared" si="2"/>
        <v/>
      </c>
      <c r="K40" s="14" t="str">
        <f t="shared" si="3"/>
        <v/>
      </c>
      <c r="M40" s="14" t="str">
        <f>IF('Claim Details'!T49=ISBLANK(0),"",'Claim Details'!T49)</f>
        <v/>
      </c>
      <c r="N40" s="14" t="str">
        <f t="shared" si="4"/>
        <v/>
      </c>
      <c r="O40" s="14" t="str">
        <f t="shared" si="5"/>
        <v/>
      </c>
    </row>
    <row r="41" spans="1:15">
      <c r="A41" s="23" t="str">
        <f>IF('Claim Details'!A50=ISBLANK(0),"",'Claim Details'!A50)</f>
        <v/>
      </c>
      <c r="B41" s="173" t="str">
        <f>IF('Claim Details'!F50=ISBLANK(0),"",'Claim Details'!F50)</f>
        <v/>
      </c>
      <c r="C41" s="23" t="str">
        <f>IF('Claim Details'!I50=ISBLANK(0),"",'Claim Details'!I50)</f>
        <v/>
      </c>
      <c r="D41" s="23" t="str">
        <f>IF('Claim Details'!K50=ISBLANK(0),"",'Claim Details'!K50)</f>
        <v/>
      </c>
      <c r="E41" s="14" t="str">
        <f>IF(LEN(A41)=0,"",IF(OR(D41='Drop downs'!$D$4,D41='Drop downs'!$D$7,D41='Drop downs'!$D$8),0,IF('Claim Details'!Q50=ISBLANK(0),"",'Claim Details'!Q50)))</f>
        <v/>
      </c>
      <c r="F41" s="14" t="str">
        <f>IF(LEN(A41)=0,"",IF(OR(D41='Drop downs'!$D$4,D41='Drop downs'!$D$7,D41='Drop downs'!$D$8),IF('Claim Details'!Q50=ISBLANK(0),"",'Claim Details'!Q50),0))</f>
        <v/>
      </c>
      <c r="G41" s="167"/>
      <c r="H41" s="14" t="str">
        <f t="shared" si="0"/>
        <v/>
      </c>
      <c r="I41" s="14" t="str">
        <f t="shared" si="1"/>
        <v/>
      </c>
      <c r="J41" s="14" t="str">
        <f t="shared" si="2"/>
        <v/>
      </c>
      <c r="K41" s="14" t="str">
        <f t="shared" si="3"/>
        <v/>
      </c>
      <c r="M41" s="14" t="str">
        <f>IF('Claim Details'!T50=ISBLANK(0),"",'Claim Details'!T50)</f>
        <v/>
      </c>
      <c r="N41" s="14" t="str">
        <f t="shared" si="4"/>
        <v/>
      </c>
      <c r="O41" s="14" t="str">
        <f t="shared" si="5"/>
        <v/>
      </c>
    </row>
    <row r="42" spans="1:15">
      <c r="A42" s="23" t="str">
        <f>IF('Claim Details'!A51=ISBLANK(0),"",'Claim Details'!A51)</f>
        <v/>
      </c>
      <c r="B42" s="173" t="str">
        <f>IF('Claim Details'!F51=ISBLANK(0),"",'Claim Details'!F51)</f>
        <v/>
      </c>
      <c r="C42" s="23" t="str">
        <f>IF('Claim Details'!I51=ISBLANK(0),"",'Claim Details'!I51)</f>
        <v/>
      </c>
      <c r="D42" s="23" t="str">
        <f>IF('Claim Details'!K51=ISBLANK(0),"",'Claim Details'!K51)</f>
        <v/>
      </c>
      <c r="E42" s="14" t="str">
        <f>IF(LEN(A42)=0,"",IF(OR(D42='Drop downs'!$D$4,D42='Drop downs'!$D$7,D42='Drop downs'!$D$8),0,IF('Claim Details'!Q51=ISBLANK(0),"",'Claim Details'!Q51)))</f>
        <v/>
      </c>
      <c r="F42" s="14" t="str">
        <f>IF(LEN(A42)=0,"",IF(OR(D42='Drop downs'!$D$4,D42='Drop downs'!$D$7,D42='Drop downs'!$D$8),IF('Claim Details'!Q51=ISBLANK(0),"",'Claim Details'!Q51),0))</f>
        <v/>
      </c>
      <c r="G42" s="167"/>
      <c r="H42" s="14" t="str">
        <f t="shared" si="0"/>
        <v/>
      </c>
      <c r="I42" s="14" t="str">
        <f t="shared" si="1"/>
        <v/>
      </c>
      <c r="J42" s="14" t="str">
        <f t="shared" si="2"/>
        <v/>
      </c>
      <c r="K42" s="14" t="str">
        <f t="shared" si="3"/>
        <v/>
      </c>
      <c r="M42" s="14" t="str">
        <f>IF('Claim Details'!T51=ISBLANK(0),"",'Claim Details'!T51)</f>
        <v/>
      </c>
      <c r="N42" s="14" t="str">
        <f t="shared" si="4"/>
        <v/>
      </c>
      <c r="O42" s="14" t="str">
        <f t="shared" si="5"/>
        <v/>
      </c>
    </row>
    <row r="43" spans="1:15">
      <c r="A43" s="23" t="str">
        <f>IF('Claim Details'!A52=ISBLANK(0),"",'Claim Details'!A52)</f>
        <v/>
      </c>
      <c r="B43" s="173" t="str">
        <f>IF('Claim Details'!F52=ISBLANK(0),"",'Claim Details'!F52)</f>
        <v/>
      </c>
      <c r="C43" s="23" t="str">
        <f>IF('Claim Details'!I52=ISBLANK(0),"",'Claim Details'!I52)</f>
        <v/>
      </c>
      <c r="D43" s="23" t="str">
        <f>IF('Claim Details'!K52=ISBLANK(0),"",'Claim Details'!K52)</f>
        <v/>
      </c>
      <c r="E43" s="14" t="str">
        <f>IF(LEN(A43)=0,"",IF(OR(D43='Drop downs'!$D$4,D43='Drop downs'!$D$7,D43='Drop downs'!$D$8),0,IF('Claim Details'!Q52=ISBLANK(0),"",'Claim Details'!Q52)))</f>
        <v/>
      </c>
      <c r="F43" s="14" t="str">
        <f>IF(LEN(A43)=0,"",IF(OR(D43='Drop downs'!$D$4,D43='Drop downs'!$D$7,D43='Drop downs'!$D$8),IF('Claim Details'!Q52=ISBLANK(0),"",'Claim Details'!Q52),0))</f>
        <v/>
      </c>
      <c r="G43" s="167"/>
      <c r="H43" s="14" t="str">
        <f t="shared" si="0"/>
        <v/>
      </c>
      <c r="I43" s="14" t="str">
        <f t="shared" si="1"/>
        <v/>
      </c>
      <c r="J43" s="14" t="str">
        <f t="shared" si="2"/>
        <v/>
      </c>
      <c r="K43" s="14" t="str">
        <f t="shared" si="3"/>
        <v/>
      </c>
      <c r="M43" s="14" t="str">
        <f>IF('Claim Details'!T52=ISBLANK(0),"",'Claim Details'!T52)</f>
        <v/>
      </c>
      <c r="N43" s="14" t="str">
        <f t="shared" si="4"/>
        <v/>
      </c>
      <c r="O43" s="14" t="str">
        <f t="shared" si="5"/>
        <v/>
      </c>
    </row>
    <row r="44" spans="1:15">
      <c r="A44" s="23" t="str">
        <f>IF('Claim Details'!A53=ISBLANK(0),"",'Claim Details'!A53)</f>
        <v/>
      </c>
      <c r="B44" s="173" t="str">
        <f>IF('Claim Details'!F53=ISBLANK(0),"",'Claim Details'!F53)</f>
        <v/>
      </c>
      <c r="C44" s="23" t="str">
        <f>IF('Claim Details'!I53=ISBLANK(0),"",'Claim Details'!I53)</f>
        <v/>
      </c>
      <c r="D44" s="23" t="str">
        <f>IF('Claim Details'!K53=ISBLANK(0),"",'Claim Details'!K53)</f>
        <v/>
      </c>
      <c r="E44" s="14" t="str">
        <f>IF(LEN(A44)=0,"",IF(OR(D44='Drop downs'!$D$4,D44='Drop downs'!$D$7,D44='Drop downs'!$D$8),0,IF('Claim Details'!Q53=ISBLANK(0),"",'Claim Details'!Q53)))</f>
        <v/>
      </c>
      <c r="F44" s="14" t="str">
        <f>IF(LEN(A44)=0,"",IF(OR(D44='Drop downs'!$D$4,D44='Drop downs'!$D$7,D44='Drop downs'!$D$8),IF('Claim Details'!Q53=ISBLANK(0),"",'Claim Details'!Q53),0))</f>
        <v/>
      </c>
      <c r="G44" s="167"/>
      <c r="H44" s="14" t="str">
        <f t="shared" si="0"/>
        <v/>
      </c>
      <c r="I44" s="14" t="str">
        <f t="shared" si="1"/>
        <v/>
      </c>
      <c r="J44" s="14" t="str">
        <f t="shared" si="2"/>
        <v/>
      </c>
      <c r="K44" s="14" t="str">
        <f t="shared" si="3"/>
        <v/>
      </c>
      <c r="M44" s="14" t="str">
        <f>IF('Claim Details'!T53=ISBLANK(0),"",'Claim Details'!T53)</f>
        <v/>
      </c>
      <c r="N44" s="14" t="str">
        <f t="shared" si="4"/>
        <v/>
      </c>
      <c r="O44" s="14" t="str">
        <f t="shared" si="5"/>
        <v/>
      </c>
    </row>
    <row r="45" spans="1:15">
      <c r="A45" s="23" t="str">
        <f>IF('Claim Details'!A54=ISBLANK(0),"",'Claim Details'!A54)</f>
        <v/>
      </c>
      <c r="B45" s="173" t="str">
        <f>IF('Claim Details'!F54=ISBLANK(0),"",'Claim Details'!F54)</f>
        <v/>
      </c>
      <c r="C45" s="23" t="str">
        <f>IF('Claim Details'!I54=ISBLANK(0),"",'Claim Details'!I54)</f>
        <v/>
      </c>
      <c r="D45" s="23" t="str">
        <f>IF('Claim Details'!K54=ISBLANK(0),"",'Claim Details'!K54)</f>
        <v/>
      </c>
      <c r="E45" s="14" t="str">
        <f>IF(LEN(A45)=0,"",IF(OR(D45='Drop downs'!$D$4,D45='Drop downs'!$D$7,D45='Drop downs'!$D$8),0,IF('Claim Details'!Q54=ISBLANK(0),"",'Claim Details'!Q54)))</f>
        <v/>
      </c>
      <c r="F45" s="14" t="str">
        <f>IF(LEN(A45)=0,"",IF(OR(D45='Drop downs'!$D$4,D45='Drop downs'!$D$7,D45='Drop downs'!$D$8),IF('Claim Details'!Q54=ISBLANK(0),"",'Claim Details'!Q54),0))</f>
        <v/>
      </c>
      <c r="G45" s="167"/>
      <c r="H45" s="14" t="str">
        <f t="shared" si="0"/>
        <v/>
      </c>
      <c r="I45" s="14" t="str">
        <f t="shared" si="1"/>
        <v/>
      </c>
      <c r="J45" s="14" t="str">
        <f t="shared" si="2"/>
        <v/>
      </c>
      <c r="K45" s="14" t="str">
        <f t="shared" si="3"/>
        <v/>
      </c>
      <c r="M45" s="14" t="str">
        <f>IF('Claim Details'!T54=ISBLANK(0),"",'Claim Details'!T54)</f>
        <v/>
      </c>
      <c r="N45" s="14" t="str">
        <f t="shared" si="4"/>
        <v/>
      </c>
      <c r="O45" s="14" t="str">
        <f t="shared" si="5"/>
        <v/>
      </c>
    </row>
    <row r="46" spans="1:15">
      <c r="A46" s="23" t="str">
        <f>IF('Claim Details'!A55=ISBLANK(0),"",'Claim Details'!A55)</f>
        <v/>
      </c>
      <c r="B46" s="173" t="str">
        <f>IF('Claim Details'!F55=ISBLANK(0),"",'Claim Details'!F55)</f>
        <v/>
      </c>
      <c r="C46" s="23" t="str">
        <f>IF('Claim Details'!I55=ISBLANK(0),"",'Claim Details'!I55)</f>
        <v/>
      </c>
      <c r="D46" s="23" t="str">
        <f>IF('Claim Details'!K55=ISBLANK(0),"",'Claim Details'!K55)</f>
        <v/>
      </c>
      <c r="E46" s="14" t="str">
        <f>IF(LEN(A46)=0,"",IF(OR(D46='Drop downs'!$D$4,D46='Drop downs'!$D$7,D46='Drop downs'!$D$8),0,IF('Claim Details'!Q55=ISBLANK(0),"",'Claim Details'!Q55)))</f>
        <v/>
      </c>
      <c r="F46" s="14" t="str">
        <f>IF(LEN(A46)=0,"",IF(OR(D46='Drop downs'!$D$4,D46='Drop downs'!$D$7,D46='Drop downs'!$D$8),IF('Claim Details'!Q55=ISBLANK(0),"",'Claim Details'!Q55),0))</f>
        <v/>
      </c>
      <c r="G46" s="167"/>
      <c r="H46" s="14" t="str">
        <f t="shared" si="0"/>
        <v/>
      </c>
      <c r="I46" s="14" t="str">
        <f t="shared" si="1"/>
        <v/>
      </c>
      <c r="J46" s="14" t="str">
        <f t="shared" si="2"/>
        <v/>
      </c>
      <c r="K46" s="14" t="str">
        <f t="shared" si="3"/>
        <v/>
      </c>
      <c r="M46" s="14" t="str">
        <f>IF('Claim Details'!T55=ISBLANK(0),"",'Claim Details'!T55)</f>
        <v/>
      </c>
      <c r="N46" s="14" t="str">
        <f t="shared" si="4"/>
        <v/>
      </c>
      <c r="O46" s="14" t="str">
        <f t="shared" si="5"/>
        <v/>
      </c>
    </row>
    <row r="47" spans="1:15">
      <c r="A47" s="23" t="str">
        <f>IF('Claim Details'!A56=ISBLANK(0),"",'Claim Details'!A56)</f>
        <v/>
      </c>
      <c r="B47" s="173" t="str">
        <f>IF('Claim Details'!F56=ISBLANK(0),"",'Claim Details'!F56)</f>
        <v/>
      </c>
      <c r="C47" s="23" t="str">
        <f>IF('Claim Details'!I56=ISBLANK(0),"",'Claim Details'!I56)</f>
        <v/>
      </c>
      <c r="D47" s="23" t="str">
        <f>IF('Claim Details'!K56=ISBLANK(0),"",'Claim Details'!K56)</f>
        <v/>
      </c>
      <c r="E47" s="14" t="str">
        <f>IF(LEN(A47)=0,"",IF(OR(D47='Drop downs'!$D$4,D47='Drop downs'!$D$7,D47='Drop downs'!$D$8),0,IF('Claim Details'!Q56=ISBLANK(0),"",'Claim Details'!Q56)))</f>
        <v/>
      </c>
      <c r="F47" s="14" t="str">
        <f>IF(LEN(A47)=0,"",IF(OR(D47='Drop downs'!$D$4,D47='Drop downs'!$D$7,D47='Drop downs'!$D$8),IF('Claim Details'!Q56=ISBLANK(0),"",'Claim Details'!Q56),0))</f>
        <v/>
      </c>
      <c r="G47" s="167"/>
      <c r="H47" s="14" t="str">
        <f t="shared" si="0"/>
        <v/>
      </c>
      <c r="I47" s="14" t="str">
        <f t="shared" si="1"/>
        <v/>
      </c>
      <c r="J47" s="14" t="str">
        <f t="shared" si="2"/>
        <v/>
      </c>
      <c r="K47" s="14" t="str">
        <f t="shared" si="3"/>
        <v/>
      </c>
      <c r="M47" s="14" t="str">
        <f>IF('Claim Details'!T56=ISBLANK(0),"",'Claim Details'!T56)</f>
        <v/>
      </c>
      <c r="N47" s="14" t="str">
        <f t="shared" si="4"/>
        <v/>
      </c>
      <c r="O47" s="14" t="str">
        <f t="shared" si="5"/>
        <v/>
      </c>
    </row>
    <row r="48" spans="1:15">
      <c r="A48" s="23" t="str">
        <f>IF('Claim Details'!A57=ISBLANK(0),"",'Claim Details'!A57)</f>
        <v/>
      </c>
      <c r="B48" s="173" t="str">
        <f>IF('Claim Details'!F57=ISBLANK(0),"",'Claim Details'!F57)</f>
        <v/>
      </c>
      <c r="C48" s="23" t="str">
        <f>IF('Claim Details'!I57=ISBLANK(0),"",'Claim Details'!I57)</f>
        <v/>
      </c>
      <c r="D48" s="23" t="str">
        <f>IF('Claim Details'!K57=ISBLANK(0),"",'Claim Details'!K57)</f>
        <v/>
      </c>
      <c r="E48" s="14" t="str">
        <f>IF(LEN(A48)=0,"",IF(OR(D48='Drop downs'!$D$4,D48='Drop downs'!$D$7,D48='Drop downs'!$D$8),0,IF('Claim Details'!Q57=ISBLANK(0),"",'Claim Details'!Q57)))</f>
        <v/>
      </c>
      <c r="F48" s="14" t="str">
        <f>IF(LEN(A48)=0,"",IF(OR(D48='Drop downs'!$D$4,D48='Drop downs'!$D$7,D48='Drop downs'!$D$8),IF('Claim Details'!Q57=ISBLANK(0),"",'Claim Details'!Q57),0))</f>
        <v/>
      </c>
      <c r="G48" s="167"/>
      <c r="H48" s="14" t="str">
        <f t="shared" si="0"/>
        <v/>
      </c>
      <c r="I48" s="14" t="str">
        <f t="shared" si="1"/>
        <v/>
      </c>
      <c r="J48" s="14" t="str">
        <f t="shared" si="2"/>
        <v/>
      </c>
      <c r="K48" s="14" t="str">
        <f t="shared" si="3"/>
        <v/>
      </c>
      <c r="M48" s="14" t="str">
        <f>IF('Claim Details'!T57=ISBLANK(0),"",'Claim Details'!T57)</f>
        <v/>
      </c>
      <c r="N48" s="14" t="str">
        <f t="shared" si="4"/>
        <v/>
      </c>
      <c r="O48" s="14" t="str">
        <f t="shared" si="5"/>
        <v/>
      </c>
    </row>
    <row r="49" spans="1:15">
      <c r="A49" s="23" t="str">
        <f>IF('Claim Details'!A58=ISBLANK(0),"",'Claim Details'!A58)</f>
        <v/>
      </c>
      <c r="B49" s="173" t="str">
        <f>IF('Claim Details'!F58=ISBLANK(0),"",'Claim Details'!F58)</f>
        <v/>
      </c>
      <c r="C49" s="23" t="str">
        <f>IF('Claim Details'!I58=ISBLANK(0),"",'Claim Details'!I58)</f>
        <v/>
      </c>
      <c r="D49" s="23" t="str">
        <f>IF('Claim Details'!K58=ISBLANK(0),"",'Claim Details'!K58)</f>
        <v/>
      </c>
      <c r="E49" s="14" t="str">
        <f>IF(LEN(A49)=0,"",IF(OR(D49='Drop downs'!$D$4,D49='Drop downs'!$D$7,D49='Drop downs'!$D$8),0,IF('Claim Details'!Q58=ISBLANK(0),"",'Claim Details'!Q58)))</f>
        <v/>
      </c>
      <c r="F49" s="14" t="str">
        <f>IF(LEN(A49)=0,"",IF(OR(D49='Drop downs'!$D$4,D49='Drop downs'!$D$7,D49='Drop downs'!$D$8),IF('Claim Details'!Q58=ISBLANK(0),"",'Claim Details'!Q58),0))</f>
        <v/>
      </c>
      <c r="G49" s="167"/>
      <c r="H49" s="14" t="str">
        <f t="shared" si="0"/>
        <v/>
      </c>
      <c r="I49" s="14" t="str">
        <f t="shared" si="1"/>
        <v/>
      </c>
      <c r="J49" s="14" t="str">
        <f t="shared" si="2"/>
        <v/>
      </c>
      <c r="K49" s="14" t="str">
        <f t="shared" si="3"/>
        <v/>
      </c>
      <c r="M49" s="14" t="str">
        <f>IF('Claim Details'!T58=ISBLANK(0),"",'Claim Details'!T58)</f>
        <v/>
      </c>
      <c r="N49" s="14" t="str">
        <f t="shared" si="4"/>
        <v/>
      </c>
      <c r="O49" s="14" t="str">
        <f t="shared" si="5"/>
        <v/>
      </c>
    </row>
    <row r="50" spans="1:15" ht="15.75">
      <c r="A50" s="169"/>
      <c r="B50" s="169"/>
      <c r="C50" s="169"/>
      <c r="D50" s="169"/>
      <c r="E50" s="41">
        <f>SUM(E8:E49)</f>
        <v>0</v>
      </c>
      <c r="F50" s="41">
        <f>SUM(F8:F49)</f>
        <v>0</v>
      </c>
      <c r="G50" s="167"/>
      <c r="H50" s="41">
        <f>SUM(H8:H49)</f>
        <v>0</v>
      </c>
      <c r="I50" s="41">
        <f>SUM(I8:I49)</f>
        <v>0</v>
      </c>
      <c r="J50" s="41"/>
      <c r="K50" s="41">
        <f>SUM(K8:K49)</f>
        <v>0</v>
      </c>
      <c r="M50" s="41"/>
      <c r="N50" s="41">
        <f>SUM(N8:N49)</f>
        <v>0</v>
      </c>
      <c r="O50" s="41">
        <f>SUM(O8:O49)</f>
        <v>0</v>
      </c>
    </row>
    <row r="52" spans="1:15" ht="21.75" customHeight="1">
      <c r="A52" s="45"/>
      <c r="H52" s="260" t="s">
        <v>63</v>
      </c>
      <c r="I52" s="261"/>
      <c r="J52" s="261"/>
      <c r="K52" s="261"/>
    </row>
    <row r="53" spans="1:15" ht="21.75" customHeight="1">
      <c r="H53" s="41" t="s">
        <v>99</v>
      </c>
      <c r="I53" s="41" t="s">
        <v>41</v>
      </c>
      <c r="J53" s="41" t="s">
        <v>101</v>
      </c>
      <c r="K53" s="41" t="s">
        <v>100</v>
      </c>
    </row>
    <row r="54" spans="1:15" ht="21.75" customHeight="1">
      <c r="A54" s="170" t="s">
        <v>64</v>
      </c>
      <c r="B54" s="171"/>
      <c r="H54" s="47"/>
      <c r="I54" s="49"/>
      <c r="J54" s="49"/>
      <c r="K54" s="47"/>
    </row>
    <row r="56" spans="1:15" ht="39.75" customHeight="1">
      <c r="A56" s="168" t="s">
        <v>4</v>
      </c>
      <c r="B56" s="168" t="s">
        <v>2</v>
      </c>
      <c r="C56" s="168" t="s">
        <v>22</v>
      </c>
      <c r="D56" s="168" t="s">
        <v>102</v>
      </c>
      <c r="E56" s="168" t="s">
        <v>108</v>
      </c>
      <c r="F56" s="168" t="s">
        <v>104</v>
      </c>
      <c r="H56" s="168" t="s">
        <v>93</v>
      </c>
      <c r="I56" s="168" t="s">
        <v>94</v>
      </c>
      <c r="J56" s="168" t="s">
        <v>95</v>
      </c>
      <c r="K56" s="168" t="s">
        <v>96</v>
      </c>
      <c r="M56" s="168" t="s">
        <v>98</v>
      </c>
      <c r="N56" s="168" t="s">
        <v>106</v>
      </c>
      <c r="O56" s="168" t="s">
        <v>105</v>
      </c>
    </row>
    <row r="57" spans="1:15" ht="15" hidden="1" customHeight="1">
      <c r="J57" s="167">
        <f>K54</f>
        <v>0</v>
      </c>
    </row>
    <row r="58" spans="1:15">
      <c r="A58" s="23" t="str">
        <f>IF('Claim Details'!A17=ISBLANK(0),"",'Claim Details'!A17)</f>
        <v/>
      </c>
      <c r="B58" s="173" t="str">
        <f>IF('Claim Details'!F17=ISBLANK(0),"",'Claim Details'!F17)</f>
        <v/>
      </c>
      <c r="C58" s="23" t="str">
        <f>IF('Claim Details'!I17=ISBLANK(0),"",'Claim Details'!I17)</f>
        <v/>
      </c>
      <c r="D58" s="23" t="str">
        <f>IF('Claim Details'!K17=ISBLANK(0),"",'Claim Details'!K17)</f>
        <v/>
      </c>
      <c r="E58" s="14" t="str">
        <f>IF(LEN(A58)=0,"",IF(OR(D58=$J$53,D58='Drop downs'!$D$7,D58='Drop downs'!$D$8),0,IF('Claim Details'!Q17=ISBLANK(0),"",'Claim Details'!Q17)))</f>
        <v/>
      </c>
      <c r="F58" s="14" t="str">
        <f>IF(LEN(A58)=0,"",IF(OR(D58='Drop downs'!$D$4,D58='Drop downs'!$D$7,D58='Drop downs'!$D$8),IF('Claim Details'!Q17=ISBLANK(0),"",'Claim Details'!Q17),0))</f>
        <v/>
      </c>
      <c r="G58" s="167"/>
      <c r="H58" s="14" t="str">
        <f t="shared" ref="H58:H99" si="6">IF(LEN(A58)=0,"",IF(D58=$J$53,0,IF(D58=$I$53,IF($I$54&gt;1,IF($I$54&lt;E58,E58-$I$54,0),IF(($I$54*M58)&lt;E58,E58-($I$54*M58),0)),IF($H$54&lt;E58,E58-$H$54,0))))</f>
        <v/>
      </c>
      <c r="I58" s="14" t="str">
        <f t="shared" ref="I58:I99" si="7">IF(LEN(A58)=0,"",IF(E58&lt;$H$54,0,IF(E58&gt;$H$54+IF(A58=A57,J57,$K$54),IF(A58=A57,J57,$K$54),H58)))</f>
        <v/>
      </c>
      <c r="J58" s="14" t="str">
        <f t="shared" ref="J58:J99" si="8">IF(LEN(A58)=0,"",IF(A58=A57,IF(I58&gt;J57,0,J57-I58),$K$54-I58))</f>
        <v/>
      </c>
      <c r="K58" s="14" t="str">
        <f t="shared" ref="K58:K99" si="9">IF(LEN(A58)=0,"",SUM(N58:O58))</f>
        <v/>
      </c>
      <c r="M58" s="14" t="str">
        <f>IF('Claim Details'!T17=ISBLANK(0),"",'Claim Details'!T17)</f>
        <v/>
      </c>
      <c r="N58" s="14" t="str">
        <f t="shared" ref="N58:N99" si="10">IF(LEN(A58)=0,"",IF(J58=0,H58-I58,0))</f>
        <v/>
      </c>
      <c r="O58" s="14" t="str">
        <f t="shared" ref="O58:O99" si="11">IF(LEN(A58)=0,"",IF(D58=$I$53,0,IF(D58=$J$53,IF($J$54&gt;1,IF($J$54&lt;F58,F58-$J$54,0),IF(($J$54*M58)&lt;F58,F58-($J$54*M58),0)),IF($H$54&lt;F58,F58-$H$54,0))))</f>
        <v/>
      </c>
    </row>
    <row r="59" spans="1:15">
      <c r="A59" s="23" t="str">
        <f>IF('Claim Details'!A18=ISBLANK(0),"",'Claim Details'!A18)</f>
        <v/>
      </c>
      <c r="B59" s="173" t="str">
        <f>IF('Claim Details'!F18=ISBLANK(0),"",'Claim Details'!F18)</f>
        <v/>
      </c>
      <c r="C59" s="23" t="str">
        <f>IF('Claim Details'!I18=ISBLANK(0),"",'Claim Details'!I18)</f>
        <v/>
      </c>
      <c r="D59" s="23" t="str">
        <f>IF('Claim Details'!K18=ISBLANK(0),"",'Claim Details'!K18)</f>
        <v/>
      </c>
      <c r="E59" s="14" t="str">
        <f>IF(LEN(A59)=0,"",IF(OR(D59=$J$53,D59='Drop downs'!$D$7,D59='Drop downs'!$D$8),0,IF('Claim Details'!Q18=ISBLANK(0),"",'Claim Details'!Q18)))</f>
        <v/>
      </c>
      <c r="F59" s="14" t="str">
        <f>IF(LEN(A59)=0,"",IF(OR(D59='Drop downs'!$D$4,D59='Drop downs'!$D$7,D59='Drop downs'!$D$8),IF('Claim Details'!Q18=ISBLANK(0),"",'Claim Details'!Q18),0))</f>
        <v/>
      </c>
      <c r="G59" s="167"/>
      <c r="H59" s="14" t="str">
        <f t="shared" si="6"/>
        <v/>
      </c>
      <c r="I59" s="14" t="str">
        <f t="shared" si="7"/>
        <v/>
      </c>
      <c r="J59" s="14" t="str">
        <f t="shared" si="8"/>
        <v/>
      </c>
      <c r="K59" s="14" t="str">
        <f t="shared" si="9"/>
        <v/>
      </c>
      <c r="M59" s="14" t="str">
        <f>IF('Claim Details'!T18=ISBLANK(0),"",'Claim Details'!T18)</f>
        <v/>
      </c>
      <c r="N59" s="14" t="str">
        <f t="shared" si="10"/>
        <v/>
      </c>
      <c r="O59" s="14" t="str">
        <f t="shared" si="11"/>
        <v/>
      </c>
    </row>
    <row r="60" spans="1:15">
      <c r="A60" s="23" t="str">
        <f>IF('Claim Details'!A19=ISBLANK(0),"",'Claim Details'!A19)</f>
        <v/>
      </c>
      <c r="B60" s="173" t="str">
        <f>IF('Claim Details'!F19=ISBLANK(0),"",'Claim Details'!F19)</f>
        <v/>
      </c>
      <c r="C60" s="23" t="str">
        <f>IF('Claim Details'!I19=ISBLANK(0),"",'Claim Details'!I19)</f>
        <v/>
      </c>
      <c r="D60" s="23" t="str">
        <f>IF('Claim Details'!K19=ISBLANK(0),"",'Claim Details'!K19)</f>
        <v/>
      </c>
      <c r="E60" s="14" t="str">
        <f>IF(LEN(A60)=0,"",IF(OR(D60=$J$53,D60='Drop downs'!$D$7,D60='Drop downs'!$D$8),0,IF('Claim Details'!Q19=ISBLANK(0),"",'Claim Details'!Q19)))</f>
        <v/>
      </c>
      <c r="F60" s="14" t="str">
        <f>IF(LEN(A60)=0,"",IF(OR(D60='Drop downs'!$D$4,D60='Drop downs'!$D$7,D60='Drop downs'!$D$8),IF('Claim Details'!Q19=ISBLANK(0),"",'Claim Details'!Q19),0))</f>
        <v/>
      </c>
      <c r="G60" s="167"/>
      <c r="H60" s="14" t="str">
        <f t="shared" si="6"/>
        <v/>
      </c>
      <c r="I60" s="14" t="str">
        <f t="shared" si="7"/>
        <v/>
      </c>
      <c r="J60" s="14" t="str">
        <f t="shared" si="8"/>
        <v/>
      </c>
      <c r="K60" s="14" t="str">
        <f t="shared" si="9"/>
        <v/>
      </c>
      <c r="M60" s="14" t="str">
        <f>IF('Claim Details'!T19=ISBLANK(0),"",'Claim Details'!T19)</f>
        <v/>
      </c>
      <c r="N60" s="14" t="str">
        <f t="shared" si="10"/>
        <v/>
      </c>
      <c r="O60" s="14" t="str">
        <f t="shared" si="11"/>
        <v/>
      </c>
    </row>
    <row r="61" spans="1:15">
      <c r="A61" s="23" t="str">
        <f>IF('Claim Details'!A20=ISBLANK(0),"",'Claim Details'!A20)</f>
        <v/>
      </c>
      <c r="B61" s="173" t="str">
        <f>IF('Claim Details'!F20=ISBLANK(0),"",'Claim Details'!F20)</f>
        <v/>
      </c>
      <c r="C61" s="23" t="str">
        <f>IF('Claim Details'!I20=ISBLANK(0),"",'Claim Details'!I20)</f>
        <v/>
      </c>
      <c r="D61" s="23" t="str">
        <f>IF('Claim Details'!K20=ISBLANK(0),"",'Claim Details'!K20)</f>
        <v/>
      </c>
      <c r="E61" s="14" t="str">
        <f>IF(LEN(A61)=0,"",IF(OR(D61=$J$53,D61='Drop downs'!$D$7,D61='Drop downs'!$D$8),0,IF('Claim Details'!Q20=ISBLANK(0),"",'Claim Details'!Q20)))</f>
        <v/>
      </c>
      <c r="F61" s="14" t="str">
        <f>IF(LEN(A61)=0,"",IF(OR(D61='Drop downs'!$D$4,D61='Drop downs'!$D$7,D61='Drop downs'!$D$8),IF('Claim Details'!Q20=ISBLANK(0),"",'Claim Details'!Q20),0))</f>
        <v/>
      </c>
      <c r="G61" s="167"/>
      <c r="H61" s="14" t="str">
        <f t="shared" si="6"/>
        <v/>
      </c>
      <c r="I61" s="14" t="str">
        <f t="shared" si="7"/>
        <v/>
      </c>
      <c r="J61" s="14" t="str">
        <f t="shared" si="8"/>
        <v/>
      </c>
      <c r="K61" s="14" t="str">
        <f t="shared" si="9"/>
        <v/>
      </c>
      <c r="M61" s="14" t="str">
        <f>IF('Claim Details'!T20=ISBLANK(0),"",'Claim Details'!T20)</f>
        <v/>
      </c>
      <c r="N61" s="14" t="str">
        <f t="shared" si="10"/>
        <v/>
      </c>
      <c r="O61" s="14" t="str">
        <f t="shared" si="11"/>
        <v/>
      </c>
    </row>
    <row r="62" spans="1:15">
      <c r="A62" s="23" t="str">
        <f>IF('Claim Details'!A21=ISBLANK(0),"",'Claim Details'!A21)</f>
        <v/>
      </c>
      <c r="B62" s="173" t="str">
        <f>IF('Claim Details'!F21=ISBLANK(0),"",'Claim Details'!F21)</f>
        <v/>
      </c>
      <c r="C62" s="23" t="str">
        <f>IF('Claim Details'!I21=ISBLANK(0),"",'Claim Details'!I21)</f>
        <v/>
      </c>
      <c r="D62" s="23" t="str">
        <f>IF('Claim Details'!K21=ISBLANK(0),"",'Claim Details'!K21)</f>
        <v/>
      </c>
      <c r="E62" s="14" t="str">
        <f>IF(LEN(A62)=0,"",IF(OR(D62=$J$53,D62='Drop downs'!$D$7,D62='Drop downs'!$D$8),0,IF('Claim Details'!Q21=ISBLANK(0),"",'Claim Details'!Q21)))</f>
        <v/>
      </c>
      <c r="F62" s="14" t="str">
        <f>IF(LEN(A62)=0,"",IF(OR(D62='Drop downs'!$D$4,D62='Drop downs'!$D$7,D62='Drop downs'!$D$8),IF('Claim Details'!Q21=ISBLANK(0),"",'Claim Details'!Q21),0))</f>
        <v/>
      </c>
      <c r="G62" s="167"/>
      <c r="H62" s="14" t="str">
        <f t="shared" si="6"/>
        <v/>
      </c>
      <c r="I62" s="14" t="str">
        <f t="shared" si="7"/>
        <v/>
      </c>
      <c r="J62" s="14" t="str">
        <f t="shared" si="8"/>
        <v/>
      </c>
      <c r="K62" s="14" t="str">
        <f t="shared" si="9"/>
        <v/>
      </c>
      <c r="M62" s="14" t="str">
        <f>IF('Claim Details'!T21=ISBLANK(0),"",'Claim Details'!T21)</f>
        <v/>
      </c>
      <c r="N62" s="14" t="str">
        <f t="shared" si="10"/>
        <v/>
      </c>
      <c r="O62" s="14" t="str">
        <f t="shared" si="11"/>
        <v/>
      </c>
    </row>
    <row r="63" spans="1:15">
      <c r="A63" s="23" t="str">
        <f>IF('Claim Details'!A22=ISBLANK(0),"",'Claim Details'!A22)</f>
        <v/>
      </c>
      <c r="B63" s="173" t="str">
        <f>IF('Claim Details'!F22=ISBLANK(0),"",'Claim Details'!F22)</f>
        <v/>
      </c>
      <c r="C63" s="23" t="str">
        <f>IF('Claim Details'!I22=ISBLANK(0),"",'Claim Details'!I22)</f>
        <v/>
      </c>
      <c r="D63" s="23" t="str">
        <f>IF('Claim Details'!K22=ISBLANK(0),"",'Claim Details'!K22)</f>
        <v/>
      </c>
      <c r="E63" s="14" t="str">
        <f>IF(LEN(A63)=0,"",IF(OR(D63=$J$53,D63='Drop downs'!$D$7,D63='Drop downs'!$D$8),0,IF('Claim Details'!Q22=ISBLANK(0),"",'Claim Details'!Q22)))</f>
        <v/>
      </c>
      <c r="F63" s="14" t="str">
        <f>IF(LEN(A63)=0,"",IF(OR(D63='Drop downs'!$D$4,D63='Drop downs'!$D$7,D63='Drop downs'!$D$8),IF('Claim Details'!Q22=ISBLANK(0),"",'Claim Details'!Q22),0))</f>
        <v/>
      </c>
      <c r="G63" s="167"/>
      <c r="H63" s="14" t="str">
        <f t="shared" si="6"/>
        <v/>
      </c>
      <c r="I63" s="14" t="str">
        <f t="shared" si="7"/>
        <v/>
      </c>
      <c r="J63" s="14" t="str">
        <f t="shared" si="8"/>
        <v/>
      </c>
      <c r="K63" s="14" t="str">
        <f t="shared" si="9"/>
        <v/>
      </c>
      <c r="M63" s="14" t="str">
        <f>IF('Claim Details'!T22=ISBLANK(0),"",'Claim Details'!T22)</f>
        <v/>
      </c>
      <c r="N63" s="14" t="str">
        <f t="shared" si="10"/>
        <v/>
      </c>
      <c r="O63" s="14" t="str">
        <f t="shared" si="11"/>
        <v/>
      </c>
    </row>
    <row r="64" spans="1:15">
      <c r="A64" s="23" t="str">
        <f>IF('Claim Details'!A23=ISBLANK(0),"",'Claim Details'!A23)</f>
        <v/>
      </c>
      <c r="B64" s="173" t="str">
        <f>IF('Claim Details'!F23=ISBLANK(0),"",'Claim Details'!F23)</f>
        <v/>
      </c>
      <c r="C64" s="23" t="str">
        <f>IF('Claim Details'!I23=ISBLANK(0),"",'Claim Details'!I23)</f>
        <v/>
      </c>
      <c r="D64" s="23" t="str">
        <f>IF('Claim Details'!K23=ISBLANK(0),"",'Claim Details'!K23)</f>
        <v/>
      </c>
      <c r="E64" s="14" t="str">
        <f>IF(LEN(A64)=0,"",IF(OR(D64=$J$53,D64='Drop downs'!$D$7,D64='Drop downs'!$D$8),0,IF('Claim Details'!Q23=ISBLANK(0),"",'Claim Details'!Q23)))</f>
        <v/>
      </c>
      <c r="F64" s="14" t="str">
        <f>IF(LEN(A64)=0,"",IF(OR(D64='Drop downs'!$D$4,D64='Drop downs'!$D$7,D64='Drop downs'!$D$8),IF('Claim Details'!Q23=ISBLANK(0),"",'Claim Details'!Q23),0))</f>
        <v/>
      </c>
      <c r="G64" s="167"/>
      <c r="H64" s="14" t="str">
        <f t="shared" si="6"/>
        <v/>
      </c>
      <c r="I64" s="14" t="str">
        <f t="shared" si="7"/>
        <v/>
      </c>
      <c r="J64" s="14" t="str">
        <f t="shared" si="8"/>
        <v/>
      </c>
      <c r="K64" s="14" t="str">
        <f t="shared" si="9"/>
        <v/>
      </c>
      <c r="M64" s="14" t="str">
        <f>IF('Claim Details'!T23=ISBLANK(0),"",'Claim Details'!T23)</f>
        <v/>
      </c>
      <c r="N64" s="14" t="str">
        <f t="shared" si="10"/>
        <v/>
      </c>
      <c r="O64" s="14" t="str">
        <f t="shared" si="11"/>
        <v/>
      </c>
    </row>
    <row r="65" spans="1:15">
      <c r="A65" s="23" t="str">
        <f>IF('Claim Details'!A24=ISBLANK(0),"",'Claim Details'!A24)</f>
        <v/>
      </c>
      <c r="B65" s="173" t="str">
        <f>IF('Claim Details'!F24=ISBLANK(0),"",'Claim Details'!F24)</f>
        <v/>
      </c>
      <c r="C65" s="23" t="str">
        <f>IF('Claim Details'!I24=ISBLANK(0),"",'Claim Details'!I24)</f>
        <v/>
      </c>
      <c r="D65" s="23" t="str">
        <f>IF('Claim Details'!K24=ISBLANK(0),"",'Claim Details'!K24)</f>
        <v/>
      </c>
      <c r="E65" s="14" t="str">
        <f>IF(LEN(A65)=0,"",IF(OR(D65=$J$53,D65='Drop downs'!$D$7,D65='Drop downs'!$D$8),0,IF('Claim Details'!Q24=ISBLANK(0),"",'Claim Details'!Q24)))</f>
        <v/>
      </c>
      <c r="F65" s="14" t="str">
        <f>IF(LEN(A65)=0,"",IF(OR(D65='Drop downs'!$D$4,D65='Drop downs'!$D$7,D65='Drop downs'!$D$8),IF('Claim Details'!Q24=ISBLANK(0),"",'Claim Details'!Q24),0))</f>
        <v/>
      </c>
      <c r="G65" s="167"/>
      <c r="H65" s="14" t="str">
        <f t="shared" si="6"/>
        <v/>
      </c>
      <c r="I65" s="14" t="str">
        <f t="shared" si="7"/>
        <v/>
      </c>
      <c r="J65" s="14" t="str">
        <f t="shared" si="8"/>
        <v/>
      </c>
      <c r="K65" s="14" t="str">
        <f t="shared" si="9"/>
        <v/>
      </c>
      <c r="M65" s="14" t="str">
        <f>IF('Claim Details'!T24=ISBLANK(0),"",'Claim Details'!T24)</f>
        <v/>
      </c>
      <c r="N65" s="14" t="str">
        <f t="shared" si="10"/>
        <v/>
      </c>
      <c r="O65" s="14" t="str">
        <f t="shared" si="11"/>
        <v/>
      </c>
    </row>
    <row r="66" spans="1:15">
      <c r="A66" s="23" t="str">
        <f>IF('Claim Details'!A25=ISBLANK(0),"",'Claim Details'!A25)</f>
        <v/>
      </c>
      <c r="B66" s="173" t="str">
        <f>IF('Claim Details'!F25=ISBLANK(0),"",'Claim Details'!F25)</f>
        <v/>
      </c>
      <c r="C66" s="23" t="str">
        <f>IF('Claim Details'!I25=ISBLANK(0),"",'Claim Details'!I25)</f>
        <v/>
      </c>
      <c r="D66" s="23" t="str">
        <f>IF('Claim Details'!K25=ISBLANK(0),"",'Claim Details'!K25)</f>
        <v/>
      </c>
      <c r="E66" s="14" t="str">
        <f>IF(LEN(A66)=0,"",IF(OR(D66=$J$53,D66='Drop downs'!$D$7,D66='Drop downs'!$D$8),0,IF('Claim Details'!Q25=ISBLANK(0),"",'Claim Details'!Q25)))</f>
        <v/>
      </c>
      <c r="F66" s="14" t="str">
        <f>IF(LEN(A66)=0,"",IF(OR(D66='Drop downs'!$D$4,D66='Drop downs'!$D$7,D66='Drop downs'!$D$8),IF('Claim Details'!Q25=ISBLANK(0),"",'Claim Details'!Q25),0))</f>
        <v/>
      </c>
      <c r="G66" s="167"/>
      <c r="H66" s="14" t="str">
        <f t="shared" si="6"/>
        <v/>
      </c>
      <c r="I66" s="14" t="str">
        <f t="shared" si="7"/>
        <v/>
      </c>
      <c r="J66" s="14" t="str">
        <f t="shared" si="8"/>
        <v/>
      </c>
      <c r="K66" s="14" t="str">
        <f t="shared" si="9"/>
        <v/>
      </c>
      <c r="M66" s="14" t="str">
        <f>IF('Claim Details'!T25=ISBLANK(0),"",'Claim Details'!T25)</f>
        <v/>
      </c>
      <c r="N66" s="14" t="str">
        <f t="shared" si="10"/>
        <v/>
      </c>
      <c r="O66" s="14" t="str">
        <f t="shared" si="11"/>
        <v/>
      </c>
    </row>
    <row r="67" spans="1:15">
      <c r="A67" s="23" t="str">
        <f>IF('Claim Details'!A26=ISBLANK(0),"",'Claim Details'!A26)</f>
        <v/>
      </c>
      <c r="B67" s="173" t="str">
        <f>IF('Claim Details'!F26=ISBLANK(0),"",'Claim Details'!F26)</f>
        <v/>
      </c>
      <c r="C67" s="23" t="str">
        <f>IF('Claim Details'!I26=ISBLANK(0),"",'Claim Details'!I26)</f>
        <v/>
      </c>
      <c r="D67" s="23" t="str">
        <f>IF('Claim Details'!K26=ISBLANK(0),"",'Claim Details'!K26)</f>
        <v/>
      </c>
      <c r="E67" s="14" t="str">
        <f>IF(LEN(A67)=0,"",IF(OR(D67=$J$53,D67='Drop downs'!$D$7,D67='Drop downs'!$D$8),0,IF('Claim Details'!Q26=ISBLANK(0),"",'Claim Details'!Q26)))</f>
        <v/>
      </c>
      <c r="F67" s="14" t="str">
        <f>IF(LEN(A67)=0,"",IF(OR(D67='Drop downs'!$D$4,D67='Drop downs'!$D$7,D67='Drop downs'!$D$8),IF('Claim Details'!Q26=ISBLANK(0),"",'Claim Details'!Q26),0))</f>
        <v/>
      </c>
      <c r="G67" s="167"/>
      <c r="H67" s="14" t="str">
        <f t="shared" si="6"/>
        <v/>
      </c>
      <c r="I67" s="14" t="str">
        <f t="shared" si="7"/>
        <v/>
      </c>
      <c r="J67" s="14" t="str">
        <f t="shared" si="8"/>
        <v/>
      </c>
      <c r="K67" s="14" t="str">
        <f t="shared" si="9"/>
        <v/>
      </c>
      <c r="M67" s="14" t="str">
        <f>IF('Claim Details'!T26=ISBLANK(0),"",'Claim Details'!T26)</f>
        <v/>
      </c>
      <c r="N67" s="14" t="str">
        <f t="shared" si="10"/>
        <v/>
      </c>
      <c r="O67" s="14" t="str">
        <f t="shared" si="11"/>
        <v/>
      </c>
    </row>
    <row r="68" spans="1:15">
      <c r="A68" s="23" t="str">
        <f>IF('Claim Details'!A27=ISBLANK(0),"",'Claim Details'!A27)</f>
        <v/>
      </c>
      <c r="B68" s="173" t="str">
        <f>IF('Claim Details'!F27=ISBLANK(0),"",'Claim Details'!F27)</f>
        <v/>
      </c>
      <c r="C68" s="23" t="str">
        <f>IF('Claim Details'!I27=ISBLANK(0),"",'Claim Details'!I27)</f>
        <v/>
      </c>
      <c r="D68" s="23" t="str">
        <f>IF('Claim Details'!K27=ISBLANK(0),"",'Claim Details'!K27)</f>
        <v/>
      </c>
      <c r="E68" s="14" t="str">
        <f>IF(LEN(A68)=0,"",IF(OR(D68=$J$53,D68='Drop downs'!$D$7,D68='Drop downs'!$D$8),0,IF('Claim Details'!Q27=ISBLANK(0),"",'Claim Details'!Q27)))</f>
        <v/>
      </c>
      <c r="F68" s="14" t="str">
        <f>IF(LEN(A68)=0,"",IF(OR(D68='Drop downs'!$D$4,D68='Drop downs'!$D$7,D68='Drop downs'!$D$8),IF('Claim Details'!Q27=ISBLANK(0),"",'Claim Details'!Q27),0))</f>
        <v/>
      </c>
      <c r="G68" s="167"/>
      <c r="H68" s="14" t="str">
        <f t="shared" si="6"/>
        <v/>
      </c>
      <c r="I68" s="14" t="str">
        <f t="shared" si="7"/>
        <v/>
      </c>
      <c r="J68" s="14" t="str">
        <f t="shared" si="8"/>
        <v/>
      </c>
      <c r="K68" s="14" t="str">
        <f t="shared" si="9"/>
        <v/>
      </c>
      <c r="M68" s="14" t="str">
        <f>IF('Claim Details'!T27=ISBLANK(0),"",'Claim Details'!T27)</f>
        <v/>
      </c>
      <c r="N68" s="14" t="str">
        <f t="shared" si="10"/>
        <v/>
      </c>
      <c r="O68" s="14" t="str">
        <f t="shared" si="11"/>
        <v/>
      </c>
    </row>
    <row r="69" spans="1:15">
      <c r="A69" s="23" t="str">
        <f>IF('Claim Details'!A28=ISBLANK(0),"",'Claim Details'!A28)</f>
        <v/>
      </c>
      <c r="B69" s="173" t="str">
        <f>IF('Claim Details'!F28=ISBLANK(0),"",'Claim Details'!F28)</f>
        <v/>
      </c>
      <c r="C69" s="23" t="str">
        <f>IF('Claim Details'!I28=ISBLANK(0),"",'Claim Details'!I28)</f>
        <v/>
      </c>
      <c r="D69" s="23" t="str">
        <f>IF('Claim Details'!K28=ISBLANK(0),"",'Claim Details'!K28)</f>
        <v/>
      </c>
      <c r="E69" s="14" t="str">
        <f>IF(LEN(A69)=0,"",IF(OR(D69=$J$53,D69='Drop downs'!$D$7,D69='Drop downs'!$D$8),0,IF('Claim Details'!Q28=ISBLANK(0),"",'Claim Details'!Q28)))</f>
        <v/>
      </c>
      <c r="F69" s="14" t="str">
        <f>IF(LEN(A69)=0,"",IF(OR(D69='Drop downs'!$D$4,D69='Drop downs'!$D$7,D69='Drop downs'!$D$8),IF('Claim Details'!Q28=ISBLANK(0),"",'Claim Details'!Q28),0))</f>
        <v/>
      </c>
      <c r="G69" s="167"/>
      <c r="H69" s="14" t="str">
        <f t="shared" si="6"/>
        <v/>
      </c>
      <c r="I69" s="14" t="str">
        <f t="shared" si="7"/>
        <v/>
      </c>
      <c r="J69" s="14" t="str">
        <f t="shared" si="8"/>
        <v/>
      </c>
      <c r="K69" s="14" t="str">
        <f t="shared" si="9"/>
        <v/>
      </c>
      <c r="M69" s="14" t="str">
        <f>IF('Claim Details'!T28=ISBLANK(0),"",'Claim Details'!T28)</f>
        <v/>
      </c>
      <c r="N69" s="14" t="str">
        <f t="shared" si="10"/>
        <v/>
      </c>
      <c r="O69" s="14" t="str">
        <f t="shared" si="11"/>
        <v/>
      </c>
    </row>
    <row r="70" spans="1:15">
      <c r="A70" s="23" t="str">
        <f>IF('Claim Details'!A29=ISBLANK(0),"",'Claim Details'!A29)</f>
        <v/>
      </c>
      <c r="B70" s="173" t="str">
        <f>IF('Claim Details'!F29=ISBLANK(0),"",'Claim Details'!F29)</f>
        <v/>
      </c>
      <c r="C70" s="23" t="str">
        <f>IF('Claim Details'!I29=ISBLANK(0),"",'Claim Details'!I29)</f>
        <v/>
      </c>
      <c r="D70" s="23" t="str">
        <f>IF('Claim Details'!K29=ISBLANK(0),"",'Claim Details'!K29)</f>
        <v/>
      </c>
      <c r="E70" s="14" t="str">
        <f>IF(LEN(A70)=0,"",IF(OR(D70=$J$53,D70='Drop downs'!$D$7,D70='Drop downs'!$D$8),0,IF('Claim Details'!Q29=ISBLANK(0),"",'Claim Details'!Q29)))</f>
        <v/>
      </c>
      <c r="F70" s="14" t="str">
        <f>IF(LEN(A70)=0,"",IF(OR(D70='Drop downs'!$D$4,D70='Drop downs'!$D$7,D70='Drop downs'!$D$8),IF('Claim Details'!Q29=ISBLANK(0),"",'Claim Details'!Q29),0))</f>
        <v/>
      </c>
      <c r="G70" s="167"/>
      <c r="H70" s="14" t="str">
        <f t="shared" si="6"/>
        <v/>
      </c>
      <c r="I70" s="14" t="str">
        <f t="shared" si="7"/>
        <v/>
      </c>
      <c r="J70" s="14" t="str">
        <f t="shared" si="8"/>
        <v/>
      </c>
      <c r="K70" s="14" t="str">
        <f t="shared" si="9"/>
        <v/>
      </c>
      <c r="M70" s="14" t="str">
        <f>IF('Claim Details'!T29=ISBLANK(0),"",'Claim Details'!T29)</f>
        <v/>
      </c>
      <c r="N70" s="14" t="str">
        <f t="shared" si="10"/>
        <v/>
      </c>
      <c r="O70" s="14" t="str">
        <f t="shared" si="11"/>
        <v/>
      </c>
    </row>
    <row r="71" spans="1:15">
      <c r="A71" s="23" t="str">
        <f>IF('Claim Details'!A30=ISBLANK(0),"",'Claim Details'!A30)</f>
        <v/>
      </c>
      <c r="B71" s="173" t="str">
        <f>IF('Claim Details'!F30=ISBLANK(0),"",'Claim Details'!F30)</f>
        <v/>
      </c>
      <c r="C71" s="23" t="str">
        <f>IF('Claim Details'!I30=ISBLANK(0),"",'Claim Details'!I30)</f>
        <v/>
      </c>
      <c r="D71" s="23" t="str">
        <f>IF('Claim Details'!K30=ISBLANK(0),"",'Claim Details'!K30)</f>
        <v/>
      </c>
      <c r="E71" s="14" t="str">
        <f>IF(LEN(A71)=0,"",IF(OR(D71=$J$53,D71='Drop downs'!$D$7,D71='Drop downs'!$D$8),0,IF('Claim Details'!Q30=ISBLANK(0),"",'Claim Details'!Q30)))</f>
        <v/>
      </c>
      <c r="F71" s="14" t="str">
        <f>IF(LEN(A71)=0,"",IF(OR(D71='Drop downs'!$D$4,D71='Drop downs'!$D$7,D71='Drop downs'!$D$8),IF('Claim Details'!Q30=ISBLANK(0),"",'Claim Details'!Q30),0))</f>
        <v/>
      </c>
      <c r="G71" s="167"/>
      <c r="H71" s="14" t="str">
        <f t="shared" si="6"/>
        <v/>
      </c>
      <c r="I71" s="14" t="str">
        <f t="shared" si="7"/>
        <v/>
      </c>
      <c r="J71" s="14" t="str">
        <f t="shared" si="8"/>
        <v/>
      </c>
      <c r="K71" s="14" t="str">
        <f t="shared" si="9"/>
        <v/>
      </c>
      <c r="M71" s="14" t="str">
        <f>IF('Claim Details'!T30=ISBLANK(0),"",'Claim Details'!T30)</f>
        <v/>
      </c>
      <c r="N71" s="14" t="str">
        <f t="shared" si="10"/>
        <v/>
      </c>
      <c r="O71" s="14" t="str">
        <f t="shared" si="11"/>
        <v/>
      </c>
    </row>
    <row r="72" spans="1:15">
      <c r="A72" s="23" t="str">
        <f>IF('Claim Details'!A31=ISBLANK(0),"",'Claim Details'!A31)</f>
        <v/>
      </c>
      <c r="B72" s="173" t="str">
        <f>IF('Claim Details'!F31=ISBLANK(0),"",'Claim Details'!F31)</f>
        <v/>
      </c>
      <c r="C72" s="23" t="str">
        <f>IF('Claim Details'!I31=ISBLANK(0),"",'Claim Details'!I31)</f>
        <v/>
      </c>
      <c r="D72" s="23" t="str">
        <f>IF('Claim Details'!K31=ISBLANK(0),"",'Claim Details'!K31)</f>
        <v/>
      </c>
      <c r="E72" s="14" t="str">
        <f>IF(LEN(A72)=0,"",IF(OR(D72=$J$53,D72='Drop downs'!$D$7,D72='Drop downs'!$D$8),0,IF('Claim Details'!Q31=ISBLANK(0),"",'Claim Details'!Q31)))</f>
        <v/>
      </c>
      <c r="F72" s="14" t="str">
        <f>IF(LEN(A72)=0,"",IF(OR(D72='Drop downs'!$D$4,D72='Drop downs'!$D$7,D72='Drop downs'!$D$8),IF('Claim Details'!Q31=ISBLANK(0),"",'Claim Details'!Q31),0))</f>
        <v/>
      </c>
      <c r="G72" s="167"/>
      <c r="H72" s="14" t="str">
        <f t="shared" si="6"/>
        <v/>
      </c>
      <c r="I72" s="14" t="str">
        <f t="shared" si="7"/>
        <v/>
      </c>
      <c r="J72" s="14" t="str">
        <f t="shared" si="8"/>
        <v/>
      </c>
      <c r="K72" s="14" t="str">
        <f t="shared" si="9"/>
        <v/>
      </c>
      <c r="M72" s="14" t="str">
        <f>IF('Claim Details'!T31=ISBLANK(0),"",'Claim Details'!T31)</f>
        <v/>
      </c>
      <c r="N72" s="14" t="str">
        <f t="shared" si="10"/>
        <v/>
      </c>
      <c r="O72" s="14" t="str">
        <f t="shared" si="11"/>
        <v/>
      </c>
    </row>
    <row r="73" spans="1:15">
      <c r="A73" s="23" t="str">
        <f>IF('Claim Details'!A32=ISBLANK(0),"",'Claim Details'!A32)</f>
        <v/>
      </c>
      <c r="B73" s="173" t="str">
        <f>IF('Claim Details'!F32=ISBLANK(0),"",'Claim Details'!F32)</f>
        <v/>
      </c>
      <c r="C73" s="23" t="str">
        <f>IF('Claim Details'!I32=ISBLANK(0),"",'Claim Details'!I32)</f>
        <v/>
      </c>
      <c r="D73" s="23" t="str">
        <f>IF('Claim Details'!K32=ISBLANK(0),"",'Claim Details'!K32)</f>
        <v/>
      </c>
      <c r="E73" s="14" t="str">
        <f>IF(LEN(A73)=0,"",IF(OR(D73=$J$53,D73='Drop downs'!$D$7,D73='Drop downs'!$D$8),0,IF('Claim Details'!Q32=ISBLANK(0),"",'Claim Details'!Q32)))</f>
        <v/>
      </c>
      <c r="F73" s="14" t="str">
        <f>IF(LEN(A73)=0,"",IF(OR(D73='Drop downs'!$D$4,D73='Drop downs'!$D$7,D73='Drop downs'!$D$8),IF('Claim Details'!Q32=ISBLANK(0),"",'Claim Details'!Q32),0))</f>
        <v/>
      </c>
      <c r="G73" s="167"/>
      <c r="H73" s="14" t="str">
        <f t="shared" si="6"/>
        <v/>
      </c>
      <c r="I73" s="14" t="str">
        <f t="shared" si="7"/>
        <v/>
      </c>
      <c r="J73" s="14" t="str">
        <f t="shared" si="8"/>
        <v/>
      </c>
      <c r="K73" s="14" t="str">
        <f t="shared" si="9"/>
        <v/>
      </c>
      <c r="M73" s="14" t="str">
        <f>IF('Claim Details'!T32=ISBLANK(0),"",'Claim Details'!T32)</f>
        <v/>
      </c>
      <c r="N73" s="14" t="str">
        <f t="shared" si="10"/>
        <v/>
      </c>
      <c r="O73" s="14" t="str">
        <f t="shared" si="11"/>
        <v/>
      </c>
    </row>
    <row r="74" spans="1:15">
      <c r="A74" s="23" t="str">
        <f>IF('Claim Details'!A33=ISBLANK(0),"",'Claim Details'!A33)</f>
        <v/>
      </c>
      <c r="B74" s="173" t="str">
        <f>IF('Claim Details'!F33=ISBLANK(0),"",'Claim Details'!F33)</f>
        <v/>
      </c>
      <c r="C74" s="23" t="str">
        <f>IF('Claim Details'!I33=ISBLANK(0),"",'Claim Details'!I33)</f>
        <v/>
      </c>
      <c r="D74" s="23" t="str">
        <f>IF('Claim Details'!K33=ISBLANK(0),"",'Claim Details'!K33)</f>
        <v/>
      </c>
      <c r="E74" s="14" t="str">
        <f>IF(LEN(A74)=0,"",IF(OR(D74=$J$53,D74='Drop downs'!$D$7,D74='Drop downs'!$D$8),0,IF('Claim Details'!Q33=ISBLANK(0),"",'Claim Details'!Q33)))</f>
        <v/>
      </c>
      <c r="F74" s="14" t="str">
        <f>IF(LEN(A74)=0,"",IF(OR(D74='Drop downs'!$D$4,D74='Drop downs'!$D$7,D74='Drop downs'!$D$8),IF('Claim Details'!Q33=ISBLANK(0),"",'Claim Details'!Q33),0))</f>
        <v/>
      </c>
      <c r="G74" s="167"/>
      <c r="H74" s="14" t="str">
        <f t="shared" si="6"/>
        <v/>
      </c>
      <c r="I74" s="14" t="str">
        <f t="shared" si="7"/>
        <v/>
      </c>
      <c r="J74" s="14" t="str">
        <f t="shared" si="8"/>
        <v/>
      </c>
      <c r="K74" s="14" t="str">
        <f t="shared" si="9"/>
        <v/>
      </c>
      <c r="M74" s="14" t="str">
        <f>IF('Claim Details'!T33=ISBLANK(0),"",'Claim Details'!T33)</f>
        <v/>
      </c>
      <c r="N74" s="14" t="str">
        <f t="shared" si="10"/>
        <v/>
      </c>
      <c r="O74" s="14" t="str">
        <f t="shared" si="11"/>
        <v/>
      </c>
    </row>
    <row r="75" spans="1:15">
      <c r="A75" s="23" t="str">
        <f>IF('Claim Details'!A34=ISBLANK(0),"",'Claim Details'!A34)</f>
        <v/>
      </c>
      <c r="B75" s="173" t="str">
        <f>IF('Claim Details'!F34=ISBLANK(0),"",'Claim Details'!F34)</f>
        <v/>
      </c>
      <c r="C75" s="23" t="str">
        <f>IF('Claim Details'!I34=ISBLANK(0),"",'Claim Details'!I34)</f>
        <v/>
      </c>
      <c r="D75" s="23" t="str">
        <f>IF('Claim Details'!K34=ISBLANK(0),"",'Claim Details'!K34)</f>
        <v/>
      </c>
      <c r="E75" s="14" t="str">
        <f>IF(LEN(A75)=0,"",IF(OR(D75=$J$53,D75='Drop downs'!$D$7,D75='Drop downs'!$D$8),0,IF('Claim Details'!Q34=ISBLANK(0),"",'Claim Details'!Q34)))</f>
        <v/>
      </c>
      <c r="F75" s="14" t="str">
        <f>IF(LEN(A75)=0,"",IF(OR(D75='Drop downs'!$D$4,D75='Drop downs'!$D$7,D75='Drop downs'!$D$8),IF('Claim Details'!Q34=ISBLANK(0),"",'Claim Details'!Q34),0))</f>
        <v/>
      </c>
      <c r="G75" s="167"/>
      <c r="H75" s="14" t="str">
        <f t="shared" si="6"/>
        <v/>
      </c>
      <c r="I75" s="14" t="str">
        <f t="shared" si="7"/>
        <v/>
      </c>
      <c r="J75" s="14" t="str">
        <f t="shared" si="8"/>
        <v/>
      </c>
      <c r="K75" s="14" t="str">
        <f t="shared" si="9"/>
        <v/>
      </c>
      <c r="M75" s="14" t="str">
        <f>IF('Claim Details'!T34=ISBLANK(0),"",'Claim Details'!T34)</f>
        <v/>
      </c>
      <c r="N75" s="14" t="str">
        <f t="shared" si="10"/>
        <v/>
      </c>
      <c r="O75" s="14" t="str">
        <f t="shared" si="11"/>
        <v/>
      </c>
    </row>
    <row r="76" spans="1:15">
      <c r="A76" s="23" t="str">
        <f>IF('Claim Details'!A35=ISBLANK(0),"",'Claim Details'!A35)</f>
        <v/>
      </c>
      <c r="B76" s="173" t="str">
        <f>IF('Claim Details'!F35=ISBLANK(0),"",'Claim Details'!F35)</f>
        <v/>
      </c>
      <c r="C76" s="23" t="str">
        <f>IF('Claim Details'!I35=ISBLANK(0),"",'Claim Details'!I35)</f>
        <v/>
      </c>
      <c r="D76" s="23" t="str">
        <f>IF('Claim Details'!K35=ISBLANK(0),"",'Claim Details'!K35)</f>
        <v/>
      </c>
      <c r="E76" s="14" t="str">
        <f>IF(LEN(A76)=0,"",IF(OR(D76=$J$53,D76='Drop downs'!$D$7,D76='Drop downs'!$D$8),0,IF('Claim Details'!Q35=ISBLANK(0),"",'Claim Details'!Q35)))</f>
        <v/>
      </c>
      <c r="F76" s="14" t="str">
        <f>IF(LEN(A76)=0,"",IF(OR(D76='Drop downs'!$D$4,D76='Drop downs'!$D$7,D76='Drop downs'!$D$8),IF('Claim Details'!Q35=ISBLANK(0),"",'Claim Details'!Q35),0))</f>
        <v/>
      </c>
      <c r="G76" s="167"/>
      <c r="H76" s="14" t="str">
        <f t="shared" si="6"/>
        <v/>
      </c>
      <c r="I76" s="14" t="str">
        <f t="shared" si="7"/>
        <v/>
      </c>
      <c r="J76" s="14" t="str">
        <f t="shared" si="8"/>
        <v/>
      </c>
      <c r="K76" s="14" t="str">
        <f t="shared" si="9"/>
        <v/>
      </c>
      <c r="M76" s="14" t="str">
        <f>IF('Claim Details'!T35=ISBLANK(0),"",'Claim Details'!T35)</f>
        <v/>
      </c>
      <c r="N76" s="14" t="str">
        <f t="shared" si="10"/>
        <v/>
      </c>
      <c r="O76" s="14" t="str">
        <f t="shared" si="11"/>
        <v/>
      </c>
    </row>
    <row r="77" spans="1:15">
      <c r="A77" s="23" t="str">
        <f>IF('Claim Details'!A36=ISBLANK(0),"",'Claim Details'!A36)</f>
        <v/>
      </c>
      <c r="B77" s="173" t="str">
        <f>IF('Claim Details'!F36=ISBLANK(0),"",'Claim Details'!F36)</f>
        <v/>
      </c>
      <c r="C77" s="23" t="str">
        <f>IF('Claim Details'!I36=ISBLANK(0),"",'Claim Details'!I36)</f>
        <v/>
      </c>
      <c r="D77" s="23" t="str">
        <f>IF('Claim Details'!K36=ISBLANK(0),"",'Claim Details'!K36)</f>
        <v/>
      </c>
      <c r="E77" s="14" t="str">
        <f>IF(LEN(A77)=0,"",IF(OR(D77=$J$53,D77='Drop downs'!$D$7,D77='Drop downs'!$D$8),0,IF('Claim Details'!Q36=ISBLANK(0),"",'Claim Details'!Q36)))</f>
        <v/>
      </c>
      <c r="F77" s="14" t="str">
        <f>IF(LEN(A77)=0,"",IF(OR(D77='Drop downs'!$D$4,D77='Drop downs'!$D$7,D77='Drop downs'!$D$8),IF('Claim Details'!Q36=ISBLANK(0),"",'Claim Details'!Q36),0))</f>
        <v/>
      </c>
      <c r="G77" s="167"/>
      <c r="H77" s="14" t="str">
        <f t="shared" si="6"/>
        <v/>
      </c>
      <c r="I77" s="14" t="str">
        <f t="shared" si="7"/>
        <v/>
      </c>
      <c r="J77" s="14" t="str">
        <f t="shared" si="8"/>
        <v/>
      </c>
      <c r="K77" s="14" t="str">
        <f t="shared" si="9"/>
        <v/>
      </c>
      <c r="M77" s="14" t="str">
        <f>IF('Claim Details'!T36=ISBLANK(0),"",'Claim Details'!T36)</f>
        <v/>
      </c>
      <c r="N77" s="14" t="str">
        <f t="shared" si="10"/>
        <v/>
      </c>
      <c r="O77" s="14" t="str">
        <f t="shared" si="11"/>
        <v/>
      </c>
    </row>
    <row r="78" spans="1:15">
      <c r="A78" s="23" t="str">
        <f>IF('Claim Details'!A37=ISBLANK(0),"",'Claim Details'!A37)</f>
        <v/>
      </c>
      <c r="B78" s="173" t="str">
        <f>IF('Claim Details'!F37=ISBLANK(0),"",'Claim Details'!F37)</f>
        <v/>
      </c>
      <c r="C78" s="23" t="str">
        <f>IF('Claim Details'!I37=ISBLANK(0),"",'Claim Details'!I37)</f>
        <v/>
      </c>
      <c r="D78" s="23" t="str">
        <f>IF('Claim Details'!K37=ISBLANK(0),"",'Claim Details'!K37)</f>
        <v/>
      </c>
      <c r="E78" s="14" t="str">
        <f>IF(LEN(A78)=0,"",IF(OR(D78=$J$53,D78='Drop downs'!$D$7,D78='Drop downs'!$D$8),0,IF('Claim Details'!Q37=ISBLANK(0),"",'Claim Details'!Q37)))</f>
        <v/>
      </c>
      <c r="F78" s="14" t="str">
        <f>IF(LEN(A78)=0,"",IF(OR(D78='Drop downs'!$D$4,D78='Drop downs'!$D$7,D78='Drop downs'!$D$8),IF('Claim Details'!Q37=ISBLANK(0),"",'Claim Details'!Q37),0))</f>
        <v/>
      </c>
      <c r="G78" s="167"/>
      <c r="H78" s="14" t="str">
        <f t="shared" si="6"/>
        <v/>
      </c>
      <c r="I78" s="14" t="str">
        <f t="shared" si="7"/>
        <v/>
      </c>
      <c r="J78" s="14" t="str">
        <f t="shared" si="8"/>
        <v/>
      </c>
      <c r="K78" s="14" t="str">
        <f t="shared" si="9"/>
        <v/>
      </c>
      <c r="M78" s="14" t="str">
        <f>IF('Claim Details'!T37=ISBLANK(0),"",'Claim Details'!T37)</f>
        <v/>
      </c>
      <c r="N78" s="14" t="str">
        <f t="shared" si="10"/>
        <v/>
      </c>
      <c r="O78" s="14" t="str">
        <f t="shared" si="11"/>
        <v/>
      </c>
    </row>
    <row r="79" spans="1:15">
      <c r="A79" s="23" t="str">
        <f>IF('Claim Details'!A38=ISBLANK(0),"",'Claim Details'!A38)</f>
        <v/>
      </c>
      <c r="B79" s="173" t="str">
        <f>IF('Claim Details'!F38=ISBLANK(0),"",'Claim Details'!F38)</f>
        <v/>
      </c>
      <c r="C79" s="23" t="str">
        <f>IF('Claim Details'!I38=ISBLANK(0),"",'Claim Details'!I38)</f>
        <v/>
      </c>
      <c r="D79" s="23" t="str">
        <f>IF('Claim Details'!K38=ISBLANK(0),"",'Claim Details'!K38)</f>
        <v/>
      </c>
      <c r="E79" s="14" t="str">
        <f>IF(LEN(A79)=0,"",IF(OR(D79=$J$53,D79='Drop downs'!$D$7,D79='Drop downs'!$D$8),0,IF('Claim Details'!Q38=ISBLANK(0),"",'Claim Details'!Q38)))</f>
        <v/>
      </c>
      <c r="F79" s="14" t="str">
        <f>IF(LEN(A79)=0,"",IF(OR(D79='Drop downs'!$D$4,D79='Drop downs'!$D$7,D79='Drop downs'!$D$8),IF('Claim Details'!Q38=ISBLANK(0),"",'Claim Details'!Q38),0))</f>
        <v/>
      </c>
      <c r="G79" s="167"/>
      <c r="H79" s="14" t="str">
        <f t="shared" si="6"/>
        <v/>
      </c>
      <c r="I79" s="14" t="str">
        <f t="shared" si="7"/>
        <v/>
      </c>
      <c r="J79" s="14" t="str">
        <f t="shared" si="8"/>
        <v/>
      </c>
      <c r="K79" s="14" t="str">
        <f t="shared" si="9"/>
        <v/>
      </c>
      <c r="M79" s="14" t="str">
        <f>IF('Claim Details'!T38=ISBLANK(0),"",'Claim Details'!T38)</f>
        <v/>
      </c>
      <c r="N79" s="14" t="str">
        <f t="shared" si="10"/>
        <v/>
      </c>
      <c r="O79" s="14" t="str">
        <f t="shared" si="11"/>
        <v/>
      </c>
    </row>
    <row r="80" spans="1:15">
      <c r="A80" s="23" t="str">
        <f>IF('Claim Details'!A39=ISBLANK(0),"",'Claim Details'!A39)</f>
        <v/>
      </c>
      <c r="B80" s="173" t="str">
        <f>IF('Claim Details'!F39=ISBLANK(0),"",'Claim Details'!F39)</f>
        <v/>
      </c>
      <c r="C80" s="23" t="str">
        <f>IF('Claim Details'!I39=ISBLANK(0),"",'Claim Details'!I39)</f>
        <v/>
      </c>
      <c r="D80" s="23" t="str">
        <f>IF('Claim Details'!K39=ISBLANK(0),"",'Claim Details'!K39)</f>
        <v/>
      </c>
      <c r="E80" s="14" t="str">
        <f>IF(LEN(A80)=0,"",IF(OR(D80=$J$53,D80='Drop downs'!$D$7,D80='Drop downs'!$D$8),0,IF('Claim Details'!Q39=ISBLANK(0),"",'Claim Details'!Q39)))</f>
        <v/>
      </c>
      <c r="F80" s="14" t="str">
        <f>IF(LEN(A80)=0,"",IF(OR(D80='Drop downs'!$D$4,D80='Drop downs'!$D$7,D80='Drop downs'!$D$8),IF('Claim Details'!Q39=ISBLANK(0),"",'Claim Details'!Q39),0))</f>
        <v/>
      </c>
      <c r="G80" s="167"/>
      <c r="H80" s="14" t="str">
        <f t="shared" si="6"/>
        <v/>
      </c>
      <c r="I80" s="14" t="str">
        <f t="shared" si="7"/>
        <v/>
      </c>
      <c r="J80" s="14" t="str">
        <f t="shared" si="8"/>
        <v/>
      </c>
      <c r="K80" s="14" t="str">
        <f t="shared" si="9"/>
        <v/>
      </c>
      <c r="M80" s="14" t="str">
        <f>IF('Claim Details'!T39=ISBLANK(0),"",'Claim Details'!T39)</f>
        <v/>
      </c>
      <c r="N80" s="14" t="str">
        <f t="shared" si="10"/>
        <v/>
      </c>
      <c r="O80" s="14" t="str">
        <f t="shared" si="11"/>
        <v/>
      </c>
    </row>
    <row r="81" spans="1:20">
      <c r="A81" s="23" t="str">
        <f>IF('Claim Details'!A40=ISBLANK(0),"",'Claim Details'!A40)</f>
        <v/>
      </c>
      <c r="B81" s="173" t="str">
        <f>IF('Claim Details'!F40=ISBLANK(0),"",'Claim Details'!F40)</f>
        <v/>
      </c>
      <c r="C81" s="23" t="str">
        <f>IF('Claim Details'!I40=ISBLANK(0),"",'Claim Details'!I40)</f>
        <v/>
      </c>
      <c r="D81" s="23" t="str">
        <f>IF('Claim Details'!K40=ISBLANK(0),"",'Claim Details'!K40)</f>
        <v/>
      </c>
      <c r="E81" s="14" t="str">
        <f>IF(LEN(A81)=0,"",IF(OR(D81=$J$53,D81='Drop downs'!$D$7,D81='Drop downs'!$D$8),0,IF('Claim Details'!Q40=ISBLANK(0),"",'Claim Details'!Q40)))</f>
        <v/>
      </c>
      <c r="F81" s="14" t="str">
        <f>IF(LEN(A81)=0,"",IF(OR(D81='Drop downs'!$D$4,D81='Drop downs'!$D$7,D81='Drop downs'!$D$8),IF('Claim Details'!Q40=ISBLANK(0),"",'Claim Details'!Q40),0))</f>
        <v/>
      </c>
      <c r="G81" s="167"/>
      <c r="H81" s="14" t="str">
        <f t="shared" si="6"/>
        <v/>
      </c>
      <c r="I81" s="14" t="str">
        <f t="shared" si="7"/>
        <v/>
      </c>
      <c r="J81" s="14" t="str">
        <f t="shared" si="8"/>
        <v/>
      </c>
      <c r="K81" s="14" t="str">
        <f t="shared" si="9"/>
        <v/>
      </c>
      <c r="M81" s="14" t="str">
        <f>IF('Claim Details'!T40=ISBLANK(0),"",'Claim Details'!T40)</f>
        <v/>
      </c>
      <c r="N81" s="14" t="str">
        <f t="shared" si="10"/>
        <v/>
      </c>
      <c r="O81" s="14" t="str">
        <f t="shared" si="11"/>
        <v/>
      </c>
    </row>
    <row r="82" spans="1:20">
      <c r="A82" s="23" t="str">
        <f>IF('Claim Details'!A41=ISBLANK(0),"",'Claim Details'!A41)</f>
        <v/>
      </c>
      <c r="B82" s="173" t="str">
        <f>IF('Claim Details'!F41=ISBLANK(0),"",'Claim Details'!F41)</f>
        <v/>
      </c>
      <c r="C82" s="23" t="str">
        <f>IF('Claim Details'!I41=ISBLANK(0),"",'Claim Details'!I41)</f>
        <v/>
      </c>
      <c r="D82" s="23" t="str">
        <f>IF('Claim Details'!K41=ISBLANK(0),"",'Claim Details'!K41)</f>
        <v/>
      </c>
      <c r="E82" s="14" t="str">
        <f>IF(LEN(A82)=0,"",IF(OR(D82=$J$53,D82='Drop downs'!$D$7,D82='Drop downs'!$D$8),0,IF('Claim Details'!Q41=ISBLANK(0),"",'Claim Details'!Q41)))</f>
        <v/>
      </c>
      <c r="F82" s="14" t="str">
        <f>IF(LEN(A82)=0,"",IF(OR(D82='Drop downs'!$D$4,D82='Drop downs'!$D$7,D82='Drop downs'!$D$8),IF('Claim Details'!Q41=ISBLANK(0),"",'Claim Details'!Q41),0))</f>
        <v/>
      </c>
      <c r="G82" s="167"/>
      <c r="H82" s="14" t="str">
        <f t="shared" si="6"/>
        <v/>
      </c>
      <c r="I82" s="14" t="str">
        <f t="shared" si="7"/>
        <v/>
      </c>
      <c r="J82" s="14" t="str">
        <f t="shared" si="8"/>
        <v/>
      </c>
      <c r="K82" s="14" t="str">
        <f t="shared" si="9"/>
        <v/>
      </c>
      <c r="M82" s="14" t="str">
        <f>IF('Claim Details'!T41=ISBLANK(0),"",'Claim Details'!T41)</f>
        <v/>
      </c>
      <c r="N82" s="14" t="str">
        <f t="shared" si="10"/>
        <v/>
      </c>
      <c r="O82" s="14" t="str">
        <f t="shared" si="11"/>
        <v/>
      </c>
    </row>
    <row r="83" spans="1:20">
      <c r="A83" s="23" t="str">
        <f>IF('Claim Details'!A42=ISBLANK(0),"",'Claim Details'!A42)</f>
        <v/>
      </c>
      <c r="B83" s="173" t="str">
        <f>IF('Claim Details'!F42=ISBLANK(0),"",'Claim Details'!F42)</f>
        <v/>
      </c>
      <c r="C83" s="23" t="str">
        <f>IF('Claim Details'!I42=ISBLANK(0),"",'Claim Details'!I42)</f>
        <v/>
      </c>
      <c r="D83" s="23" t="str">
        <f>IF('Claim Details'!K42=ISBLANK(0),"",'Claim Details'!K42)</f>
        <v/>
      </c>
      <c r="E83" s="14" t="str">
        <f>IF(LEN(A83)=0,"",IF(OR(D83=$J$53,D83='Drop downs'!$D$7,D83='Drop downs'!$D$8),0,IF('Claim Details'!Q42=ISBLANK(0),"",'Claim Details'!Q42)))</f>
        <v/>
      </c>
      <c r="F83" s="14" t="str">
        <f>IF(LEN(A83)=0,"",IF(OR(D83='Drop downs'!$D$4,D83='Drop downs'!$D$7,D83='Drop downs'!$D$8),IF('Claim Details'!Q42=ISBLANK(0),"",'Claim Details'!Q42),0))</f>
        <v/>
      </c>
      <c r="G83" s="167"/>
      <c r="H83" s="14" t="str">
        <f t="shared" si="6"/>
        <v/>
      </c>
      <c r="I83" s="14" t="str">
        <f t="shared" si="7"/>
        <v/>
      </c>
      <c r="J83" s="14" t="str">
        <f t="shared" si="8"/>
        <v/>
      </c>
      <c r="K83" s="14" t="str">
        <f t="shared" si="9"/>
        <v/>
      </c>
      <c r="M83" s="14" t="str">
        <f>IF('Claim Details'!T42=ISBLANK(0),"",'Claim Details'!T42)</f>
        <v/>
      </c>
      <c r="N83" s="14" t="str">
        <f t="shared" si="10"/>
        <v/>
      </c>
      <c r="O83" s="14" t="str">
        <f t="shared" si="11"/>
        <v/>
      </c>
    </row>
    <row r="84" spans="1:20">
      <c r="A84" s="23" t="str">
        <f>IF('Claim Details'!A43=ISBLANK(0),"",'Claim Details'!A43)</f>
        <v/>
      </c>
      <c r="B84" s="173" t="str">
        <f>IF('Claim Details'!F43=ISBLANK(0),"",'Claim Details'!F43)</f>
        <v/>
      </c>
      <c r="C84" s="23" t="str">
        <f>IF('Claim Details'!I43=ISBLANK(0),"",'Claim Details'!I43)</f>
        <v/>
      </c>
      <c r="D84" s="23" t="str">
        <f>IF('Claim Details'!K43=ISBLANK(0),"",'Claim Details'!K43)</f>
        <v/>
      </c>
      <c r="E84" s="14" t="str">
        <f>IF(LEN(A84)=0,"",IF(OR(D84=$J$53,D84='Drop downs'!$D$7,D84='Drop downs'!$D$8),0,IF('Claim Details'!Q43=ISBLANK(0),"",'Claim Details'!Q43)))</f>
        <v/>
      </c>
      <c r="F84" s="14" t="str">
        <f>IF(LEN(A84)=0,"",IF(OR(D84='Drop downs'!$D$4,D84='Drop downs'!$D$7,D84='Drop downs'!$D$8),IF('Claim Details'!Q43=ISBLANK(0),"",'Claim Details'!Q43),0))</f>
        <v/>
      </c>
      <c r="G84" s="167"/>
      <c r="H84" s="14" t="str">
        <f t="shared" si="6"/>
        <v/>
      </c>
      <c r="I84" s="14" t="str">
        <f t="shared" si="7"/>
        <v/>
      </c>
      <c r="J84" s="14" t="str">
        <f t="shared" si="8"/>
        <v/>
      </c>
      <c r="K84" s="14" t="str">
        <f t="shared" si="9"/>
        <v/>
      </c>
      <c r="M84" s="14" t="str">
        <f>IF('Claim Details'!T43=ISBLANK(0),"",'Claim Details'!T43)</f>
        <v/>
      </c>
      <c r="N84" s="14" t="str">
        <f t="shared" si="10"/>
        <v/>
      </c>
      <c r="O84" s="14" t="str">
        <f t="shared" si="11"/>
        <v/>
      </c>
    </row>
    <row r="85" spans="1:20">
      <c r="A85" s="23" t="str">
        <f>IF('Claim Details'!A44=ISBLANK(0),"",'Claim Details'!A44)</f>
        <v/>
      </c>
      <c r="B85" s="173" t="str">
        <f>IF('Claim Details'!F44=ISBLANK(0),"",'Claim Details'!F44)</f>
        <v/>
      </c>
      <c r="C85" s="23" t="str">
        <f>IF('Claim Details'!I44=ISBLANK(0),"",'Claim Details'!I44)</f>
        <v/>
      </c>
      <c r="D85" s="23" t="str">
        <f>IF('Claim Details'!K44=ISBLANK(0),"",'Claim Details'!K44)</f>
        <v/>
      </c>
      <c r="E85" s="14" t="str">
        <f>IF(LEN(A85)=0,"",IF(OR(D85=$J$53,D85='Drop downs'!$D$7,D85='Drop downs'!$D$8),0,IF('Claim Details'!Q44=ISBLANK(0),"",'Claim Details'!Q44)))</f>
        <v/>
      </c>
      <c r="F85" s="14" t="str">
        <f>IF(LEN(A85)=0,"",IF(OR(D85='Drop downs'!$D$4,D85='Drop downs'!$D$7,D85='Drop downs'!$D$8),IF('Claim Details'!Q44=ISBLANK(0),"",'Claim Details'!Q44),0))</f>
        <v/>
      </c>
      <c r="G85" s="167"/>
      <c r="H85" s="14" t="str">
        <f t="shared" si="6"/>
        <v/>
      </c>
      <c r="I85" s="14" t="str">
        <f t="shared" si="7"/>
        <v/>
      </c>
      <c r="J85" s="14" t="str">
        <f t="shared" si="8"/>
        <v/>
      </c>
      <c r="K85" s="14" t="str">
        <f t="shared" si="9"/>
        <v/>
      </c>
      <c r="M85" s="14" t="str">
        <f>IF('Claim Details'!T44=ISBLANK(0),"",'Claim Details'!T44)</f>
        <v/>
      </c>
      <c r="N85" s="14" t="str">
        <f t="shared" si="10"/>
        <v/>
      </c>
      <c r="O85" s="14" t="str">
        <f t="shared" si="11"/>
        <v/>
      </c>
    </row>
    <row r="86" spans="1:20">
      <c r="A86" s="23" t="str">
        <f>IF('Claim Details'!A45=ISBLANK(0),"",'Claim Details'!A45)</f>
        <v/>
      </c>
      <c r="B86" s="173" t="str">
        <f>IF('Claim Details'!F45=ISBLANK(0),"",'Claim Details'!F45)</f>
        <v/>
      </c>
      <c r="C86" s="23" t="str">
        <f>IF('Claim Details'!I45=ISBLANK(0),"",'Claim Details'!I45)</f>
        <v/>
      </c>
      <c r="D86" s="23" t="str">
        <f>IF('Claim Details'!K45=ISBLANK(0),"",'Claim Details'!K45)</f>
        <v/>
      </c>
      <c r="E86" s="14" t="str">
        <f>IF(LEN(A86)=0,"",IF(OR(D86=$J$53,D86='Drop downs'!$D$7,D86='Drop downs'!$D$8),0,IF('Claim Details'!Q45=ISBLANK(0),"",'Claim Details'!Q45)))</f>
        <v/>
      </c>
      <c r="F86" s="14" t="str">
        <f>IF(LEN(A86)=0,"",IF(OR(D86='Drop downs'!$D$4,D86='Drop downs'!$D$7,D86='Drop downs'!$D$8),IF('Claim Details'!Q45=ISBLANK(0),"",'Claim Details'!Q45),0))</f>
        <v/>
      </c>
      <c r="G86" s="167"/>
      <c r="H86" s="14" t="str">
        <f t="shared" si="6"/>
        <v/>
      </c>
      <c r="I86" s="14" t="str">
        <f t="shared" si="7"/>
        <v/>
      </c>
      <c r="J86" s="14" t="str">
        <f t="shared" si="8"/>
        <v/>
      </c>
      <c r="K86" s="14" t="str">
        <f t="shared" si="9"/>
        <v/>
      </c>
      <c r="M86" s="14" t="str">
        <f>IF('Claim Details'!T45=ISBLANK(0),"",'Claim Details'!T45)</f>
        <v/>
      </c>
      <c r="N86" s="14" t="str">
        <f t="shared" si="10"/>
        <v/>
      </c>
      <c r="O86" s="14" t="str">
        <f t="shared" si="11"/>
        <v/>
      </c>
    </row>
    <row r="87" spans="1:20">
      <c r="A87" s="23" t="str">
        <f>IF('Claim Details'!A46=ISBLANK(0),"",'Claim Details'!A46)</f>
        <v/>
      </c>
      <c r="B87" s="173" t="str">
        <f>IF('Claim Details'!F46=ISBLANK(0),"",'Claim Details'!F46)</f>
        <v/>
      </c>
      <c r="C87" s="23" t="str">
        <f>IF('Claim Details'!I46=ISBLANK(0),"",'Claim Details'!I46)</f>
        <v/>
      </c>
      <c r="D87" s="23" t="str">
        <f>IF('Claim Details'!K46=ISBLANK(0),"",'Claim Details'!K46)</f>
        <v/>
      </c>
      <c r="E87" s="14" t="str">
        <f>IF(LEN(A87)=0,"",IF(OR(D87=$J$53,D87='Drop downs'!$D$7,D87='Drop downs'!$D$8),0,IF('Claim Details'!Q46=ISBLANK(0),"",'Claim Details'!Q46)))</f>
        <v/>
      </c>
      <c r="F87" s="14" t="str">
        <f>IF(LEN(A87)=0,"",IF(OR(D87='Drop downs'!$D$4,D87='Drop downs'!$D$7,D87='Drop downs'!$D$8),IF('Claim Details'!Q46=ISBLANK(0),"",'Claim Details'!Q46),0))</f>
        <v/>
      </c>
      <c r="G87" s="167"/>
      <c r="H87" s="14" t="str">
        <f t="shared" si="6"/>
        <v/>
      </c>
      <c r="I87" s="14" t="str">
        <f t="shared" si="7"/>
        <v/>
      </c>
      <c r="J87" s="14" t="str">
        <f t="shared" si="8"/>
        <v/>
      </c>
      <c r="K87" s="14" t="str">
        <f t="shared" si="9"/>
        <v/>
      </c>
      <c r="M87" s="14" t="str">
        <f>IF('Claim Details'!T46=ISBLANK(0),"",'Claim Details'!T46)</f>
        <v/>
      </c>
      <c r="N87" s="14" t="str">
        <f t="shared" si="10"/>
        <v/>
      </c>
      <c r="O87" s="14" t="str">
        <f t="shared" si="11"/>
        <v/>
      </c>
    </row>
    <row r="88" spans="1:20">
      <c r="A88" s="23" t="str">
        <f>IF('Claim Details'!A47=ISBLANK(0),"",'Claim Details'!A47)</f>
        <v/>
      </c>
      <c r="B88" s="173" t="str">
        <f>IF('Claim Details'!F47=ISBLANK(0),"",'Claim Details'!F47)</f>
        <v/>
      </c>
      <c r="C88" s="23" t="str">
        <f>IF('Claim Details'!I47=ISBLANK(0),"",'Claim Details'!I47)</f>
        <v/>
      </c>
      <c r="D88" s="23" t="str">
        <f>IF('Claim Details'!K47=ISBLANK(0),"",'Claim Details'!K47)</f>
        <v/>
      </c>
      <c r="E88" s="14" t="str">
        <f>IF(LEN(A88)=0,"",IF(OR(D88=$J$53,D88='Drop downs'!$D$7,D88='Drop downs'!$D$8),0,IF('Claim Details'!Q47=ISBLANK(0),"",'Claim Details'!Q47)))</f>
        <v/>
      </c>
      <c r="F88" s="14" t="str">
        <f>IF(LEN(A88)=0,"",IF(OR(D88='Drop downs'!$D$4,D88='Drop downs'!$D$7,D88='Drop downs'!$D$8),IF('Claim Details'!Q47=ISBLANK(0),"",'Claim Details'!Q47),0))</f>
        <v/>
      </c>
      <c r="G88" s="167"/>
      <c r="H88" s="14" t="str">
        <f t="shared" si="6"/>
        <v/>
      </c>
      <c r="I88" s="14" t="str">
        <f t="shared" si="7"/>
        <v/>
      </c>
      <c r="J88" s="14" t="str">
        <f t="shared" si="8"/>
        <v/>
      </c>
      <c r="K88" s="14" t="str">
        <f t="shared" si="9"/>
        <v/>
      </c>
      <c r="M88" s="14" t="str">
        <f>IF('Claim Details'!T47=ISBLANK(0),"",'Claim Details'!T47)</f>
        <v/>
      </c>
      <c r="N88" s="14" t="str">
        <f t="shared" si="10"/>
        <v/>
      </c>
      <c r="O88" s="14" t="str">
        <f t="shared" si="11"/>
        <v/>
      </c>
    </row>
    <row r="89" spans="1:20">
      <c r="A89" s="23" t="str">
        <f>IF('Claim Details'!A48=ISBLANK(0),"",'Claim Details'!A48)</f>
        <v/>
      </c>
      <c r="B89" s="173" t="str">
        <f>IF('Claim Details'!F48=ISBLANK(0),"",'Claim Details'!F48)</f>
        <v/>
      </c>
      <c r="C89" s="23" t="str">
        <f>IF('Claim Details'!I48=ISBLANK(0),"",'Claim Details'!I48)</f>
        <v/>
      </c>
      <c r="D89" s="23" t="str">
        <f>IF('Claim Details'!K48=ISBLANK(0),"",'Claim Details'!K48)</f>
        <v/>
      </c>
      <c r="E89" s="14" t="str">
        <f>IF(LEN(A89)=0,"",IF(OR(D89=$J$53,D89='Drop downs'!$D$7,D89='Drop downs'!$D$8),0,IF('Claim Details'!Q48=ISBLANK(0),"",'Claim Details'!Q48)))</f>
        <v/>
      </c>
      <c r="F89" s="14" t="str">
        <f>IF(LEN(A89)=0,"",IF(OR(D89='Drop downs'!$D$4,D89='Drop downs'!$D$7,D89='Drop downs'!$D$8),IF('Claim Details'!Q48=ISBLANK(0),"",'Claim Details'!Q48),0))</f>
        <v/>
      </c>
      <c r="G89" s="167"/>
      <c r="H89" s="14" t="str">
        <f t="shared" si="6"/>
        <v/>
      </c>
      <c r="I89" s="14" t="str">
        <f t="shared" si="7"/>
        <v/>
      </c>
      <c r="J89" s="14" t="str">
        <f t="shared" si="8"/>
        <v/>
      </c>
      <c r="K89" s="14" t="str">
        <f t="shared" si="9"/>
        <v/>
      </c>
      <c r="M89" s="14" t="str">
        <f>IF('Claim Details'!T48=ISBLANK(0),"",'Claim Details'!T48)</f>
        <v/>
      </c>
      <c r="N89" s="14" t="str">
        <f t="shared" si="10"/>
        <v/>
      </c>
      <c r="O89" s="14" t="str">
        <f t="shared" si="11"/>
        <v/>
      </c>
    </row>
    <row r="90" spans="1:20">
      <c r="A90" s="23" t="str">
        <f>IF('Claim Details'!A49=ISBLANK(0),"",'Claim Details'!A49)</f>
        <v/>
      </c>
      <c r="B90" s="173" t="str">
        <f>IF('Claim Details'!F49=ISBLANK(0),"",'Claim Details'!F49)</f>
        <v/>
      </c>
      <c r="C90" s="23" t="str">
        <f>IF('Claim Details'!I49=ISBLANK(0),"",'Claim Details'!I49)</f>
        <v/>
      </c>
      <c r="D90" s="23" t="str">
        <f>IF('Claim Details'!K49=ISBLANK(0),"",'Claim Details'!K49)</f>
        <v/>
      </c>
      <c r="E90" s="14" t="str">
        <f>IF(LEN(A90)=0,"",IF(OR(D90=$J$53,D90='Drop downs'!$D$7,D90='Drop downs'!$D$8),0,IF('Claim Details'!Q49=ISBLANK(0),"",'Claim Details'!Q49)))</f>
        <v/>
      </c>
      <c r="F90" s="14" t="str">
        <f>IF(LEN(A90)=0,"",IF(OR(D90='Drop downs'!$D$4,D90='Drop downs'!$D$7,D90='Drop downs'!$D$8),IF('Claim Details'!Q49=ISBLANK(0),"",'Claim Details'!Q49),0))</f>
        <v/>
      </c>
      <c r="G90" s="167"/>
      <c r="H90" s="14" t="str">
        <f t="shared" si="6"/>
        <v/>
      </c>
      <c r="I90" s="14" t="str">
        <f t="shared" si="7"/>
        <v/>
      </c>
      <c r="J90" s="14" t="str">
        <f t="shared" si="8"/>
        <v/>
      </c>
      <c r="K90" s="14" t="str">
        <f t="shared" si="9"/>
        <v/>
      </c>
      <c r="M90" s="14" t="str">
        <f>IF('Claim Details'!T49=ISBLANK(0),"",'Claim Details'!T49)</f>
        <v/>
      </c>
      <c r="N90" s="14" t="str">
        <f t="shared" si="10"/>
        <v/>
      </c>
      <c r="O90" s="14" t="str">
        <f t="shared" si="11"/>
        <v/>
      </c>
    </row>
    <row r="91" spans="1:20">
      <c r="A91" s="23" t="str">
        <f>IF('Claim Details'!A50=ISBLANK(0),"",'Claim Details'!A50)</f>
        <v/>
      </c>
      <c r="B91" s="173" t="str">
        <f>IF('Claim Details'!F50=ISBLANK(0),"",'Claim Details'!F50)</f>
        <v/>
      </c>
      <c r="C91" s="23" t="str">
        <f>IF('Claim Details'!I50=ISBLANK(0),"",'Claim Details'!I50)</f>
        <v/>
      </c>
      <c r="D91" s="23" t="str">
        <f>IF('Claim Details'!K50=ISBLANK(0),"",'Claim Details'!K50)</f>
        <v/>
      </c>
      <c r="E91" s="14" t="str">
        <f>IF(LEN(A91)=0,"",IF(OR(D91=$J$53,D91='Drop downs'!$D$7,D91='Drop downs'!$D$8),0,IF('Claim Details'!Q50=ISBLANK(0),"",'Claim Details'!Q50)))</f>
        <v/>
      </c>
      <c r="F91" s="14" t="str">
        <f>IF(LEN(A91)=0,"",IF(OR(D91='Drop downs'!$D$4,D91='Drop downs'!$D$7,D91='Drop downs'!$D$8),IF('Claim Details'!Q50=ISBLANK(0),"",'Claim Details'!Q50),0))</f>
        <v/>
      </c>
      <c r="G91" s="167"/>
      <c r="H91" s="14" t="str">
        <f t="shared" si="6"/>
        <v/>
      </c>
      <c r="I91" s="14" t="str">
        <f t="shared" si="7"/>
        <v/>
      </c>
      <c r="J91" s="14" t="str">
        <f t="shared" si="8"/>
        <v/>
      </c>
      <c r="K91" s="14" t="str">
        <f t="shared" si="9"/>
        <v/>
      </c>
      <c r="M91" s="14" t="str">
        <f>IF('Claim Details'!T50=ISBLANK(0),"",'Claim Details'!T50)</f>
        <v/>
      </c>
      <c r="N91" s="14" t="str">
        <f t="shared" si="10"/>
        <v/>
      </c>
      <c r="O91" s="14" t="str">
        <f t="shared" si="11"/>
        <v/>
      </c>
      <c r="T91" t="s">
        <v>109</v>
      </c>
    </row>
    <row r="92" spans="1:20">
      <c r="A92" s="23" t="str">
        <f>IF('Claim Details'!A51=ISBLANK(0),"",'Claim Details'!A51)</f>
        <v/>
      </c>
      <c r="B92" s="173" t="str">
        <f>IF('Claim Details'!F51=ISBLANK(0),"",'Claim Details'!F51)</f>
        <v/>
      </c>
      <c r="C92" s="23" t="str">
        <f>IF('Claim Details'!I51=ISBLANK(0),"",'Claim Details'!I51)</f>
        <v/>
      </c>
      <c r="D92" s="23" t="str">
        <f>IF('Claim Details'!K51=ISBLANK(0),"",'Claim Details'!K51)</f>
        <v/>
      </c>
      <c r="E92" s="14" t="str">
        <f>IF(LEN(A92)=0,"",IF(OR(D92=$J$53,D92='Drop downs'!$D$7,D92='Drop downs'!$D$8),0,IF('Claim Details'!Q51=ISBLANK(0),"",'Claim Details'!Q51)))</f>
        <v/>
      </c>
      <c r="F92" s="14" t="str">
        <f>IF(LEN(A92)=0,"",IF(OR(D92='Drop downs'!$D$4,D92='Drop downs'!$D$7,D92='Drop downs'!$D$8),IF('Claim Details'!Q51=ISBLANK(0),"",'Claim Details'!Q51),0))</f>
        <v/>
      </c>
      <c r="G92" s="167"/>
      <c r="H92" s="14" t="str">
        <f t="shared" si="6"/>
        <v/>
      </c>
      <c r="I92" s="14" t="str">
        <f t="shared" si="7"/>
        <v/>
      </c>
      <c r="J92" s="14" t="str">
        <f t="shared" si="8"/>
        <v/>
      </c>
      <c r="K92" s="14" t="str">
        <f t="shared" si="9"/>
        <v/>
      </c>
      <c r="M92" s="14" t="str">
        <f>IF('Claim Details'!T51=ISBLANK(0),"",'Claim Details'!T51)</f>
        <v/>
      </c>
      <c r="N92" s="14" t="str">
        <f t="shared" si="10"/>
        <v/>
      </c>
      <c r="O92" s="14" t="str">
        <f t="shared" si="11"/>
        <v/>
      </c>
    </row>
    <row r="93" spans="1:20">
      <c r="A93" s="23" t="str">
        <f>IF('Claim Details'!A52=ISBLANK(0),"",'Claim Details'!A52)</f>
        <v/>
      </c>
      <c r="B93" s="173" t="str">
        <f>IF('Claim Details'!F52=ISBLANK(0),"",'Claim Details'!F52)</f>
        <v/>
      </c>
      <c r="C93" s="23" t="str">
        <f>IF('Claim Details'!I52=ISBLANK(0),"",'Claim Details'!I52)</f>
        <v/>
      </c>
      <c r="D93" s="23" t="str">
        <f>IF('Claim Details'!K52=ISBLANK(0),"",'Claim Details'!K52)</f>
        <v/>
      </c>
      <c r="E93" s="14" t="str">
        <f>IF(LEN(A93)=0,"",IF(OR(D93=$J$53,D93='Drop downs'!$D$7,D93='Drop downs'!$D$8),0,IF('Claim Details'!Q52=ISBLANK(0),"",'Claim Details'!Q52)))</f>
        <v/>
      </c>
      <c r="F93" s="14" t="str">
        <f>IF(LEN(A93)=0,"",IF(OR(D93='Drop downs'!$D$4,D93='Drop downs'!$D$7,D93='Drop downs'!$D$8),IF('Claim Details'!Q52=ISBLANK(0),"",'Claim Details'!Q52),0))</f>
        <v/>
      </c>
      <c r="G93" s="167"/>
      <c r="H93" s="14" t="str">
        <f t="shared" si="6"/>
        <v/>
      </c>
      <c r="I93" s="14" t="str">
        <f t="shared" si="7"/>
        <v/>
      </c>
      <c r="J93" s="14" t="str">
        <f t="shared" si="8"/>
        <v/>
      </c>
      <c r="K93" s="14" t="str">
        <f t="shared" si="9"/>
        <v/>
      </c>
      <c r="M93" s="14" t="str">
        <f>IF('Claim Details'!T52=ISBLANK(0),"",'Claim Details'!T52)</f>
        <v/>
      </c>
      <c r="N93" s="14" t="str">
        <f t="shared" si="10"/>
        <v/>
      </c>
      <c r="O93" s="14" t="str">
        <f t="shared" si="11"/>
        <v/>
      </c>
    </row>
    <row r="94" spans="1:20">
      <c r="A94" s="23" t="str">
        <f>IF('Claim Details'!A53=ISBLANK(0),"",'Claim Details'!A53)</f>
        <v/>
      </c>
      <c r="B94" s="173" t="str">
        <f>IF('Claim Details'!F53=ISBLANK(0),"",'Claim Details'!F53)</f>
        <v/>
      </c>
      <c r="C94" s="23" t="str">
        <f>IF('Claim Details'!I53=ISBLANK(0),"",'Claim Details'!I53)</f>
        <v/>
      </c>
      <c r="D94" s="23" t="str">
        <f>IF('Claim Details'!K53=ISBLANK(0),"",'Claim Details'!K53)</f>
        <v/>
      </c>
      <c r="E94" s="14" t="str">
        <f>IF(LEN(A94)=0,"",IF(OR(D94=$J$53,D94='Drop downs'!$D$7,D94='Drop downs'!$D$8),0,IF('Claim Details'!Q53=ISBLANK(0),"",'Claim Details'!Q53)))</f>
        <v/>
      </c>
      <c r="F94" s="14" t="str">
        <f>IF(LEN(A94)=0,"",IF(OR(D94='Drop downs'!$D$4,D94='Drop downs'!$D$7,D94='Drop downs'!$D$8),IF('Claim Details'!Q53=ISBLANK(0),"",'Claim Details'!Q53),0))</f>
        <v/>
      </c>
      <c r="G94" s="167"/>
      <c r="H94" s="14" t="str">
        <f t="shared" si="6"/>
        <v/>
      </c>
      <c r="I94" s="14" t="str">
        <f t="shared" si="7"/>
        <v/>
      </c>
      <c r="J94" s="14" t="str">
        <f t="shared" si="8"/>
        <v/>
      </c>
      <c r="K94" s="14" t="str">
        <f t="shared" si="9"/>
        <v/>
      </c>
      <c r="M94" s="14" t="str">
        <f>IF('Claim Details'!T53=ISBLANK(0),"",'Claim Details'!T53)</f>
        <v/>
      </c>
      <c r="N94" s="14" t="str">
        <f t="shared" si="10"/>
        <v/>
      </c>
      <c r="O94" s="14" t="str">
        <f t="shared" si="11"/>
        <v/>
      </c>
    </row>
    <row r="95" spans="1:20">
      <c r="A95" s="23" t="str">
        <f>IF('Claim Details'!A54=ISBLANK(0),"",'Claim Details'!A54)</f>
        <v/>
      </c>
      <c r="B95" s="173" t="str">
        <f>IF('Claim Details'!F54=ISBLANK(0),"",'Claim Details'!F54)</f>
        <v/>
      </c>
      <c r="C95" s="23" t="str">
        <f>IF('Claim Details'!I54=ISBLANK(0),"",'Claim Details'!I54)</f>
        <v/>
      </c>
      <c r="D95" s="23" t="str">
        <f>IF('Claim Details'!K54=ISBLANK(0),"",'Claim Details'!K54)</f>
        <v/>
      </c>
      <c r="E95" s="14" t="str">
        <f>IF(LEN(A95)=0,"",IF(OR(D95=$J$53,D95='Drop downs'!$D$7,D95='Drop downs'!$D$8),0,IF('Claim Details'!Q54=ISBLANK(0),"",'Claim Details'!Q54)))</f>
        <v/>
      </c>
      <c r="F95" s="14" t="str">
        <f>IF(LEN(A95)=0,"",IF(OR(D95='Drop downs'!$D$4,D95='Drop downs'!$D$7,D95='Drop downs'!$D$8),IF('Claim Details'!Q54=ISBLANK(0),"",'Claim Details'!Q54),0))</f>
        <v/>
      </c>
      <c r="G95" s="167"/>
      <c r="H95" s="14" t="str">
        <f t="shared" si="6"/>
        <v/>
      </c>
      <c r="I95" s="14" t="str">
        <f t="shared" si="7"/>
        <v/>
      </c>
      <c r="J95" s="14" t="str">
        <f t="shared" si="8"/>
        <v/>
      </c>
      <c r="K95" s="14" t="str">
        <f t="shared" si="9"/>
        <v/>
      </c>
      <c r="M95" s="14" t="str">
        <f>IF('Claim Details'!T54=ISBLANK(0),"",'Claim Details'!T54)</f>
        <v/>
      </c>
      <c r="N95" s="14" t="str">
        <f t="shared" si="10"/>
        <v/>
      </c>
      <c r="O95" s="14" t="str">
        <f t="shared" si="11"/>
        <v/>
      </c>
    </row>
    <row r="96" spans="1:20">
      <c r="A96" s="23" t="str">
        <f>IF('Claim Details'!A55=ISBLANK(0),"",'Claim Details'!A55)</f>
        <v/>
      </c>
      <c r="B96" s="173" t="str">
        <f>IF('Claim Details'!F55=ISBLANK(0),"",'Claim Details'!F55)</f>
        <v/>
      </c>
      <c r="C96" s="23" t="str">
        <f>IF('Claim Details'!I55=ISBLANK(0),"",'Claim Details'!I55)</f>
        <v/>
      </c>
      <c r="D96" s="23" t="str">
        <f>IF('Claim Details'!K55=ISBLANK(0),"",'Claim Details'!K55)</f>
        <v/>
      </c>
      <c r="E96" s="14" t="str">
        <f>IF(LEN(A96)=0,"",IF(OR(D96=$J$53,D96='Drop downs'!$D$7,D96='Drop downs'!$D$8),0,IF('Claim Details'!Q55=ISBLANK(0),"",'Claim Details'!Q55)))</f>
        <v/>
      </c>
      <c r="F96" s="14" t="str">
        <f>IF(LEN(A96)=0,"",IF(OR(D96='Drop downs'!$D$4,D96='Drop downs'!$D$7,D96='Drop downs'!$D$8),IF('Claim Details'!Q55=ISBLANK(0),"",'Claim Details'!Q55),0))</f>
        <v/>
      </c>
      <c r="G96" s="167"/>
      <c r="H96" s="14" t="str">
        <f t="shared" si="6"/>
        <v/>
      </c>
      <c r="I96" s="14" t="str">
        <f t="shared" si="7"/>
        <v/>
      </c>
      <c r="J96" s="14" t="str">
        <f t="shared" si="8"/>
        <v/>
      </c>
      <c r="K96" s="14" t="str">
        <f t="shared" si="9"/>
        <v/>
      </c>
      <c r="M96" s="14" t="str">
        <f>IF('Claim Details'!T55=ISBLANK(0),"",'Claim Details'!T55)</f>
        <v/>
      </c>
      <c r="N96" s="14" t="str">
        <f t="shared" si="10"/>
        <v/>
      </c>
      <c r="O96" s="14" t="str">
        <f t="shared" si="11"/>
        <v/>
      </c>
    </row>
    <row r="97" spans="1:15">
      <c r="A97" s="23" t="str">
        <f>IF('Claim Details'!A56=ISBLANK(0),"",'Claim Details'!A56)</f>
        <v/>
      </c>
      <c r="B97" s="173" t="str">
        <f>IF('Claim Details'!F56=ISBLANK(0),"",'Claim Details'!F56)</f>
        <v/>
      </c>
      <c r="C97" s="23" t="str">
        <f>IF('Claim Details'!I56=ISBLANK(0),"",'Claim Details'!I56)</f>
        <v/>
      </c>
      <c r="D97" s="23" t="str">
        <f>IF('Claim Details'!K56=ISBLANK(0),"",'Claim Details'!K56)</f>
        <v/>
      </c>
      <c r="E97" s="14" t="str">
        <f>IF(LEN(A97)=0,"",IF(OR(D97=$J$53,D97='Drop downs'!$D$7,D97='Drop downs'!$D$8),0,IF('Claim Details'!Q56=ISBLANK(0),"",'Claim Details'!Q56)))</f>
        <v/>
      </c>
      <c r="F97" s="14" t="str">
        <f>IF(LEN(A97)=0,"",IF(OR(D97='Drop downs'!$D$4,D97='Drop downs'!$D$7,D97='Drop downs'!$D$8),IF('Claim Details'!Q56=ISBLANK(0),"",'Claim Details'!Q56),0))</f>
        <v/>
      </c>
      <c r="G97" s="167"/>
      <c r="H97" s="14" t="str">
        <f t="shared" si="6"/>
        <v/>
      </c>
      <c r="I97" s="14" t="str">
        <f t="shared" si="7"/>
        <v/>
      </c>
      <c r="J97" s="14" t="str">
        <f t="shared" si="8"/>
        <v/>
      </c>
      <c r="K97" s="14" t="str">
        <f t="shared" si="9"/>
        <v/>
      </c>
      <c r="M97" s="14" t="str">
        <f>IF('Claim Details'!T56=ISBLANK(0),"",'Claim Details'!T56)</f>
        <v/>
      </c>
      <c r="N97" s="14" t="str">
        <f t="shared" si="10"/>
        <v/>
      </c>
      <c r="O97" s="14" t="str">
        <f t="shared" si="11"/>
        <v/>
      </c>
    </row>
    <row r="98" spans="1:15">
      <c r="A98" s="23" t="str">
        <f>IF('Claim Details'!A57=ISBLANK(0),"",'Claim Details'!A57)</f>
        <v/>
      </c>
      <c r="B98" s="173" t="str">
        <f>IF('Claim Details'!F57=ISBLANK(0),"",'Claim Details'!F57)</f>
        <v/>
      </c>
      <c r="C98" s="23" t="str">
        <f>IF('Claim Details'!I57=ISBLANK(0),"",'Claim Details'!I57)</f>
        <v/>
      </c>
      <c r="D98" s="23" t="str">
        <f>IF('Claim Details'!K57=ISBLANK(0),"",'Claim Details'!K57)</f>
        <v/>
      </c>
      <c r="E98" s="14" t="str">
        <f>IF(LEN(A98)=0,"",IF(OR(D98=$J$53,D98='Drop downs'!$D$7,D98='Drop downs'!$D$8),0,IF('Claim Details'!Q57=ISBLANK(0),"",'Claim Details'!Q57)))</f>
        <v/>
      </c>
      <c r="F98" s="14" t="str">
        <f>IF(LEN(A98)=0,"",IF(OR(D98='Drop downs'!$D$4,D98='Drop downs'!$D$7,D98='Drop downs'!$D$8),IF('Claim Details'!Q57=ISBLANK(0),"",'Claim Details'!Q57),0))</f>
        <v/>
      </c>
      <c r="G98" s="167"/>
      <c r="H98" s="14" t="str">
        <f t="shared" si="6"/>
        <v/>
      </c>
      <c r="I98" s="14" t="str">
        <f t="shared" si="7"/>
        <v/>
      </c>
      <c r="J98" s="14" t="str">
        <f t="shared" si="8"/>
        <v/>
      </c>
      <c r="K98" s="14" t="str">
        <f t="shared" si="9"/>
        <v/>
      </c>
      <c r="M98" s="14" t="str">
        <f>IF('Claim Details'!T57=ISBLANK(0),"",'Claim Details'!T57)</f>
        <v/>
      </c>
      <c r="N98" s="14" t="str">
        <f t="shared" si="10"/>
        <v/>
      </c>
      <c r="O98" s="14" t="str">
        <f t="shared" si="11"/>
        <v/>
      </c>
    </row>
    <row r="99" spans="1:15">
      <c r="A99" s="23" t="str">
        <f>IF('Claim Details'!A58=ISBLANK(0),"",'Claim Details'!A58)</f>
        <v/>
      </c>
      <c r="B99" s="173" t="str">
        <f>IF('Claim Details'!F58=ISBLANK(0),"",'Claim Details'!F58)</f>
        <v/>
      </c>
      <c r="C99" s="23" t="str">
        <f>IF('Claim Details'!I58=ISBLANK(0),"",'Claim Details'!I58)</f>
        <v/>
      </c>
      <c r="D99" s="23" t="str">
        <f>IF('Claim Details'!K58=ISBLANK(0),"",'Claim Details'!K58)</f>
        <v/>
      </c>
      <c r="E99" s="14" t="str">
        <f>IF(LEN(A99)=0,"",IF(OR(D99=$J$53,D99='Drop downs'!$D$7,D99='Drop downs'!$D$8),0,IF('Claim Details'!Q58=ISBLANK(0),"",'Claim Details'!Q58)))</f>
        <v/>
      </c>
      <c r="F99" s="14" t="str">
        <f>IF(LEN(A99)=0,"",IF(OR(D99='Drop downs'!$D$4,D99='Drop downs'!$D$7,D99='Drop downs'!$D$8),IF('Claim Details'!Q58=ISBLANK(0),"",'Claim Details'!Q58),0))</f>
        <v/>
      </c>
      <c r="G99" s="167"/>
      <c r="H99" s="14" t="str">
        <f t="shared" si="6"/>
        <v/>
      </c>
      <c r="I99" s="14" t="str">
        <f t="shared" si="7"/>
        <v/>
      </c>
      <c r="J99" s="14" t="str">
        <f t="shared" si="8"/>
        <v/>
      </c>
      <c r="K99" s="14" t="str">
        <f t="shared" si="9"/>
        <v/>
      </c>
      <c r="M99" s="14" t="str">
        <f>IF('Claim Details'!T58=ISBLANK(0),"",'Claim Details'!T58)</f>
        <v/>
      </c>
      <c r="N99" s="14" t="str">
        <f t="shared" si="10"/>
        <v/>
      </c>
      <c r="O99" s="14" t="str">
        <f t="shared" si="11"/>
        <v/>
      </c>
    </row>
    <row r="100" spans="1:15" ht="15.75">
      <c r="A100" s="169"/>
      <c r="B100" s="169"/>
      <c r="C100" s="169"/>
      <c r="D100" s="169"/>
      <c r="E100" s="41">
        <f>SUM(E58:E99)</f>
        <v>0</v>
      </c>
      <c r="F100" s="41">
        <f>SUM(F58:F99)</f>
        <v>0</v>
      </c>
      <c r="G100" s="167"/>
      <c r="H100" s="41">
        <f>SUM(H58:H99)</f>
        <v>0</v>
      </c>
      <c r="I100" s="41">
        <f>SUM(I58:I99)</f>
        <v>0</v>
      </c>
      <c r="J100" s="41"/>
      <c r="K100" s="41">
        <f>SUM(K58:K99)</f>
        <v>0</v>
      </c>
      <c r="M100" s="41"/>
      <c r="N100" s="41">
        <f>SUM(N58:N99)</f>
        <v>0</v>
      </c>
      <c r="O100" s="41">
        <f>SUM(O58:O99)</f>
        <v>0</v>
      </c>
    </row>
    <row r="103" spans="1:15" ht="21">
      <c r="A103" s="263" t="s">
        <v>107</v>
      </c>
      <c r="B103" s="264"/>
      <c r="C103" s="264"/>
    </row>
  </sheetData>
  <mergeCells count="5">
    <mergeCell ref="H2:K2"/>
    <mergeCell ref="H52:K52"/>
    <mergeCell ref="D3:E3"/>
    <mergeCell ref="A1:D1"/>
    <mergeCell ref="A103:C103"/>
  </mergeCells>
  <conditionalFormatting sqref="A1 F1">
    <cfRule type="cellIs" dxfId="5" priority="10" operator="equal">
      <formula>"Client Name"</formula>
    </cfRule>
  </conditionalFormatting>
  <conditionalFormatting sqref="H4:K4">
    <cfRule type="cellIs" dxfId="3" priority="9" operator="equal">
      <formula>ISBLANK(0)</formula>
    </cfRule>
  </conditionalFormatting>
  <conditionalFormatting sqref="H54:K54">
    <cfRule type="cellIs" dxfId="2" priority="7" operator="equal">
      <formula>ISBLANK(0)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66" id="{D188F165-3906-400D-B9CA-22D2F1E1B055}">
            <xm:f>MOD('Drop downs'!$M8,2)=0</xm:f>
            <x14:dxf>
              <fill>
                <patternFill>
                  <bgColor theme="0" tint="-0.14996795556505021"/>
                </patternFill>
              </fill>
            </x14:dxf>
          </x14:cfRule>
          <xm:sqref>A8:F49 H8:K49 M8:O49 A58:F99 H58:K99 M58:O99</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M100"/>
  <sheetViews>
    <sheetView workbookViewId="0">
      <selection activeCell="M1" sqref="M1:M1048576"/>
    </sheetView>
  </sheetViews>
  <sheetFormatPr defaultRowHeight="15"/>
  <cols>
    <col min="1" max="1" width="16.140625" style="7" customWidth="1"/>
    <col min="2" max="2" width="15.28515625" bestFit="1" customWidth="1"/>
    <col min="3" max="3" width="15.28515625" customWidth="1"/>
    <col min="4" max="4" width="25.7109375" customWidth="1"/>
    <col min="5" max="5" width="22.28515625" customWidth="1"/>
    <col min="6" max="6" width="29.85546875" bestFit="1" customWidth="1"/>
    <col min="7" max="7" width="16.28515625" bestFit="1" customWidth="1"/>
  </cols>
  <sheetData>
    <row r="1" spans="1:13" ht="15.75" thickBot="1">
      <c r="A1" s="7" t="s">
        <v>28</v>
      </c>
      <c r="B1" s="1" t="s">
        <v>22</v>
      </c>
      <c r="C1" s="1" t="s">
        <v>24</v>
      </c>
      <c r="D1" s="1" t="s">
        <v>5</v>
      </c>
      <c r="E1" s="1" t="s">
        <v>23</v>
      </c>
      <c r="F1" s="1" t="s">
        <v>78</v>
      </c>
      <c r="G1" s="1" t="s">
        <v>81</v>
      </c>
    </row>
    <row r="2" spans="1:13" ht="19.5" thickBot="1">
      <c r="A2" s="8" t="s">
        <v>16</v>
      </c>
      <c r="B2" s="2" t="s">
        <v>20</v>
      </c>
      <c r="C2" s="2" t="s">
        <v>25</v>
      </c>
      <c r="D2" s="3" t="s">
        <v>39</v>
      </c>
      <c r="E2" s="2" t="s">
        <v>47</v>
      </c>
      <c r="F2" s="2" t="s">
        <v>76</v>
      </c>
      <c r="G2" s="12">
        <v>3</v>
      </c>
    </row>
    <row r="3" spans="1:13">
      <c r="A3" s="8" t="s">
        <v>10</v>
      </c>
      <c r="B3" s="2" t="s">
        <v>21</v>
      </c>
      <c r="C3" s="3" t="s">
        <v>26</v>
      </c>
      <c r="D3" s="3" t="s">
        <v>41</v>
      </c>
      <c r="E3" s="2" t="s">
        <v>48</v>
      </c>
      <c r="F3" s="2" t="s">
        <v>77</v>
      </c>
      <c r="G3" s="2"/>
    </row>
    <row r="4" spans="1:13">
      <c r="A4" s="8" t="s">
        <v>9</v>
      </c>
      <c r="B4" s="2"/>
      <c r="C4" s="3" t="s">
        <v>38</v>
      </c>
      <c r="D4" s="3" t="s">
        <v>101</v>
      </c>
      <c r="E4" s="2" t="s">
        <v>49</v>
      </c>
      <c r="F4" s="2"/>
      <c r="G4" s="2"/>
    </row>
    <row r="5" spans="1:13">
      <c r="A5" s="8" t="s">
        <v>8</v>
      </c>
      <c r="D5" s="3" t="s">
        <v>72</v>
      </c>
      <c r="E5" s="2" t="s">
        <v>50</v>
      </c>
      <c r="F5" s="2"/>
      <c r="G5" s="2"/>
    </row>
    <row r="6" spans="1:13">
      <c r="A6" s="8" t="s">
        <v>7</v>
      </c>
      <c r="D6" s="3" t="s">
        <v>40</v>
      </c>
      <c r="E6" s="2" t="s">
        <v>51</v>
      </c>
      <c r="F6" s="2"/>
      <c r="G6" s="2"/>
    </row>
    <row r="7" spans="1:13">
      <c r="A7" s="8" t="s">
        <v>17</v>
      </c>
      <c r="D7" s="3" t="s">
        <v>42</v>
      </c>
      <c r="E7" s="2" t="s">
        <v>52</v>
      </c>
      <c r="F7" s="2"/>
      <c r="G7" s="2"/>
    </row>
    <row r="8" spans="1:13">
      <c r="A8" s="8" t="s">
        <v>27</v>
      </c>
      <c r="D8" s="3" t="s">
        <v>43</v>
      </c>
      <c r="E8" s="2" t="s">
        <v>32</v>
      </c>
      <c r="F8" s="2"/>
      <c r="G8" s="2"/>
      <c r="M8" t="str">
        <f>RIGHT('Plus Agg Analysis'!A8,2)</f>
        <v/>
      </c>
    </row>
    <row r="9" spans="1:13">
      <c r="A9" s="8" t="s">
        <v>30</v>
      </c>
      <c r="D9" s="3" t="s">
        <v>44</v>
      </c>
      <c r="E9" s="2"/>
      <c r="F9" s="2"/>
      <c r="G9" s="2"/>
      <c r="M9" t="str">
        <f>RIGHT('Plus Agg Analysis'!A9,2)</f>
        <v/>
      </c>
    </row>
    <row r="10" spans="1:13">
      <c r="A10" s="8" t="s">
        <v>31</v>
      </c>
      <c r="D10" s="3" t="s">
        <v>45</v>
      </c>
      <c r="E10" s="2"/>
      <c r="F10" s="2"/>
      <c r="G10" s="2"/>
      <c r="M10" t="str">
        <f>RIGHT('Plus Agg Analysis'!A10,2)</f>
        <v/>
      </c>
    </row>
    <row r="11" spans="1:13">
      <c r="A11" s="8" t="s">
        <v>68</v>
      </c>
      <c r="D11" s="3" t="s">
        <v>46</v>
      </c>
      <c r="E11" s="2"/>
      <c r="F11" s="2"/>
      <c r="G11" s="2"/>
      <c r="M11" t="str">
        <f>RIGHT('Plus Agg Analysis'!A11,2)</f>
        <v/>
      </c>
    </row>
    <row r="12" spans="1:13">
      <c r="A12" s="8" t="s">
        <v>71</v>
      </c>
      <c r="D12" s="2" t="s">
        <v>32</v>
      </c>
      <c r="M12" t="str">
        <f>RIGHT('Plus Agg Analysis'!A12,2)</f>
        <v/>
      </c>
    </row>
    <row r="13" spans="1:13">
      <c r="A13" s="8" t="s">
        <v>88</v>
      </c>
      <c r="D13" s="2"/>
      <c r="M13" t="str">
        <f>RIGHT('Plus Agg Analysis'!A13,2)</f>
        <v/>
      </c>
    </row>
    <row r="14" spans="1:13">
      <c r="A14" s="8" t="s">
        <v>89</v>
      </c>
      <c r="M14" t="str">
        <f>RIGHT('Plus Agg Analysis'!A14,2)</f>
        <v/>
      </c>
    </row>
    <row r="15" spans="1:13">
      <c r="A15" s="8" t="s">
        <v>90</v>
      </c>
      <c r="M15" t="str">
        <f>RIGHT('Plus Agg Analysis'!A15,2)</f>
        <v/>
      </c>
    </row>
    <row r="16" spans="1:13">
      <c r="A16" s="8" t="s">
        <v>91</v>
      </c>
      <c r="M16" t="str">
        <f>RIGHT('Plus Agg Analysis'!A16,2)</f>
        <v/>
      </c>
    </row>
    <row r="17" spans="4:13">
      <c r="M17" t="str">
        <f>RIGHT('Plus Agg Analysis'!A17,2)</f>
        <v/>
      </c>
    </row>
    <row r="18" spans="4:13">
      <c r="D18" s="5"/>
      <c r="E18" s="4"/>
      <c r="M18" t="str">
        <f>RIGHT('Plus Agg Analysis'!A18,2)</f>
        <v/>
      </c>
    </row>
    <row r="19" spans="4:13" ht="18.75">
      <c r="D19" s="5"/>
      <c r="E19" s="6"/>
      <c r="M19" t="str">
        <f>RIGHT('Plus Agg Analysis'!A19,2)</f>
        <v/>
      </c>
    </row>
    <row r="20" spans="4:13">
      <c r="M20" t="str">
        <f>RIGHT('Plus Agg Analysis'!A20,2)</f>
        <v/>
      </c>
    </row>
    <row r="21" spans="4:13">
      <c r="M21" t="str">
        <f>RIGHT('Plus Agg Analysis'!A21,2)</f>
        <v/>
      </c>
    </row>
    <row r="22" spans="4:13">
      <c r="M22" t="str">
        <f>RIGHT('Plus Agg Analysis'!A22,2)</f>
        <v/>
      </c>
    </row>
    <row r="23" spans="4:13">
      <c r="M23" t="str">
        <f>RIGHT('Plus Agg Analysis'!A23,2)</f>
        <v/>
      </c>
    </row>
    <row r="24" spans="4:13">
      <c r="M24" t="str">
        <f>RIGHT('Plus Agg Analysis'!A24,2)</f>
        <v/>
      </c>
    </row>
    <row r="25" spans="4:13">
      <c r="M25" t="str">
        <f>RIGHT('Plus Agg Analysis'!A25,2)</f>
        <v/>
      </c>
    </row>
    <row r="26" spans="4:13">
      <c r="M26" t="str">
        <f>RIGHT('Plus Agg Analysis'!A26,2)</f>
        <v/>
      </c>
    </row>
    <row r="27" spans="4:13">
      <c r="M27" t="str">
        <f>RIGHT('Plus Agg Analysis'!A27,2)</f>
        <v/>
      </c>
    </row>
    <row r="28" spans="4:13">
      <c r="M28" t="str">
        <f>RIGHT('Plus Agg Analysis'!A28,2)</f>
        <v/>
      </c>
    </row>
    <row r="29" spans="4:13">
      <c r="M29" t="str">
        <f>RIGHT('Plus Agg Analysis'!A29,2)</f>
        <v/>
      </c>
    </row>
    <row r="30" spans="4:13">
      <c r="M30" t="str">
        <f>RIGHT('Plus Agg Analysis'!A30,2)</f>
        <v/>
      </c>
    </row>
    <row r="31" spans="4:13">
      <c r="M31" t="str">
        <f>RIGHT('Plus Agg Analysis'!A31,2)</f>
        <v/>
      </c>
    </row>
    <row r="32" spans="4:13">
      <c r="M32" t="str">
        <f>RIGHT('Plus Agg Analysis'!A32,2)</f>
        <v/>
      </c>
    </row>
    <row r="33" spans="13:13">
      <c r="M33" t="str">
        <f>RIGHT('Plus Agg Analysis'!A33,2)</f>
        <v/>
      </c>
    </row>
    <row r="34" spans="13:13">
      <c r="M34" t="str">
        <f>RIGHT('Plus Agg Analysis'!A34,2)</f>
        <v/>
      </c>
    </row>
    <row r="35" spans="13:13">
      <c r="M35" t="str">
        <f>RIGHT('Plus Agg Analysis'!A35,2)</f>
        <v/>
      </c>
    </row>
    <row r="36" spans="13:13">
      <c r="M36" t="str">
        <f>RIGHT('Plus Agg Analysis'!A36,2)</f>
        <v/>
      </c>
    </row>
    <row r="37" spans="13:13">
      <c r="M37" t="str">
        <f>RIGHT('Plus Agg Analysis'!A37,2)</f>
        <v/>
      </c>
    </row>
    <row r="38" spans="13:13">
      <c r="M38" t="str">
        <f>RIGHT('Plus Agg Analysis'!A38,2)</f>
        <v/>
      </c>
    </row>
    <row r="39" spans="13:13">
      <c r="M39" t="str">
        <f>RIGHT('Plus Agg Analysis'!A39,2)</f>
        <v/>
      </c>
    </row>
    <row r="40" spans="13:13">
      <c r="M40" t="str">
        <f>RIGHT('Plus Agg Analysis'!A40,2)</f>
        <v/>
      </c>
    </row>
    <row r="41" spans="13:13">
      <c r="M41" t="str">
        <f>RIGHT('Plus Agg Analysis'!A41,2)</f>
        <v/>
      </c>
    </row>
    <row r="42" spans="13:13">
      <c r="M42" t="str">
        <f>RIGHT('Plus Agg Analysis'!A42,2)</f>
        <v/>
      </c>
    </row>
    <row r="43" spans="13:13">
      <c r="M43" t="str">
        <f>RIGHT('Plus Agg Analysis'!A43,2)</f>
        <v/>
      </c>
    </row>
    <row r="44" spans="13:13">
      <c r="M44" t="str">
        <f>RIGHT('Plus Agg Analysis'!A44,2)</f>
        <v/>
      </c>
    </row>
    <row r="45" spans="13:13">
      <c r="M45" t="str">
        <f>RIGHT('Plus Agg Analysis'!A45,2)</f>
        <v/>
      </c>
    </row>
    <row r="46" spans="13:13">
      <c r="M46" t="str">
        <f>RIGHT('Plus Agg Analysis'!A46,2)</f>
        <v/>
      </c>
    </row>
    <row r="47" spans="13:13">
      <c r="M47" t="str">
        <f>RIGHT('Plus Agg Analysis'!A47,2)</f>
        <v/>
      </c>
    </row>
    <row r="48" spans="13:13">
      <c r="M48" t="str">
        <f>RIGHT('Plus Agg Analysis'!A48,2)</f>
        <v/>
      </c>
    </row>
    <row r="49" spans="13:13">
      <c r="M49" t="str">
        <f>RIGHT('Plus Agg Analysis'!A49,2)</f>
        <v/>
      </c>
    </row>
    <row r="50" spans="13:13">
      <c r="M50" t="str">
        <f>RIGHT('Plus Agg Analysis'!A50,2)</f>
        <v/>
      </c>
    </row>
    <row r="51" spans="13:13">
      <c r="M51" t="str">
        <f>RIGHT('Plus Agg Analysis'!A51,2)</f>
        <v/>
      </c>
    </row>
    <row r="52" spans="13:13">
      <c r="M52" t="str">
        <f>RIGHT('Plus Agg Analysis'!A52,2)</f>
        <v/>
      </c>
    </row>
    <row r="53" spans="13:13">
      <c r="M53" t="str">
        <f>RIGHT('Plus Agg Analysis'!A53,2)</f>
        <v/>
      </c>
    </row>
    <row r="55" spans="13:13">
      <c r="M55" t="str">
        <f>RIGHT('Plus Agg Analysis'!A55,2)</f>
        <v/>
      </c>
    </row>
    <row r="57" spans="13:13">
      <c r="M57" t="str">
        <f>RIGHT('Plus Agg Analysis'!A57,2)</f>
        <v/>
      </c>
    </row>
    <row r="58" spans="13:13">
      <c r="M58" t="str">
        <f>RIGHT('Plus Agg Analysis'!A58,2)</f>
        <v/>
      </c>
    </row>
    <row r="59" spans="13:13">
      <c r="M59" t="str">
        <f>RIGHT('Plus Agg Analysis'!A59,2)</f>
        <v/>
      </c>
    </row>
    <row r="60" spans="13:13">
      <c r="M60" t="str">
        <f>RIGHT('Plus Agg Analysis'!A60,2)</f>
        <v/>
      </c>
    </row>
    <row r="61" spans="13:13">
      <c r="M61" t="str">
        <f>RIGHT('Plus Agg Analysis'!A61,2)</f>
        <v/>
      </c>
    </row>
    <row r="62" spans="13:13">
      <c r="M62" t="str">
        <f>RIGHT('Plus Agg Analysis'!A62,2)</f>
        <v/>
      </c>
    </row>
    <row r="63" spans="13:13">
      <c r="M63" t="str">
        <f>RIGHT('Plus Agg Analysis'!A63,2)</f>
        <v/>
      </c>
    </row>
    <row r="64" spans="13:13">
      <c r="M64" t="str">
        <f>RIGHT('Plus Agg Analysis'!A64,2)</f>
        <v/>
      </c>
    </row>
    <row r="65" spans="13:13">
      <c r="M65" t="str">
        <f>RIGHT('Plus Agg Analysis'!A65,2)</f>
        <v/>
      </c>
    </row>
    <row r="66" spans="13:13">
      <c r="M66" t="str">
        <f>RIGHT('Plus Agg Analysis'!A66,2)</f>
        <v/>
      </c>
    </row>
    <row r="67" spans="13:13">
      <c r="M67" t="str">
        <f>RIGHT('Plus Agg Analysis'!A67,2)</f>
        <v/>
      </c>
    </row>
    <row r="68" spans="13:13">
      <c r="M68" t="str">
        <f>RIGHT('Plus Agg Analysis'!A68,2)</f>
        <v/>
      </c>
    </row>
    <row r="69" spans="13:13">
      <c r="M69" t="str">
        <f>RIGHT('Plus Agg Analysis'!A69,2)</f>
        <v/>
      </c>
    </row>
    <row r="70" spans="13:13">
      <c r="M70" t="str">
        <f>RIGHT('Plus Agg Analysis'!A70,2)</f>
        <v/>
      </c>
    </row>
    <row r="71" spans="13:13">
      <c r="M71" t="str">
        <f>RIGHT('Plus Agg Analysis'!A71,2)</f>
        <v/>
      </c>
    </row>
    <row r="72" spans="13:13">
      <c r="M72" t="str">
        <f>RIGHT('Plus Agg Analysis'!A72,2)</f>
        <v/>
      </c>
    </row>
    <row r="73" spans="13:13">
      <c r="M73" t="str">
        <f>RIGHT('Plus Agg Analysis'!A73,2)</f>
        <v/>
      </c>
    </row>
    <row r="74" spans="13:13">
      <c r="M74" t="str">
        <f>RIGHT('Plus Agg Analysis'!A74,2)</f>
        <v/>
      </c>
    </row>
    <row r="75" spans="13:13">
      <c r="M75" t="str">
        <f>RIGHT('Plus Agg Analysis'!A75,2)</f>
        <v/>
      </c>
    </row>
    <row r="76" spans="13:13">
      <c r="M76" t="str">
        <f>RIGHT('Plus Agg Analysis'!A76,2)</f>
        <v/>
      </c>
    </row>
    <row r="77" spans="13:13">
      <c r="M77" t="str">
        <f>RIGHT('Plus Agg Analysis'!A77,2)</f>
        <v/>
      </c>
    </row>
    <row r="78" spans="13:13">
      <c r="M78" t="str">
        <f>RIGHT('Plus Agg Analysis'!A78,2)</f>
        <v/>
      </c>
    </row>
    <row r="79" spans="13:13">
      <c r="M79" t="str">
        <f>RIGHT('Plus Agg Analysis'!A79,2)</f>
        <v/>
      </c>
    </row>
    <row r="80" spans="13:13">
      <c r="M80" t="str">
        <f>RIGHT('Plus Agg Analysis'!A80,2)</f>
        <v/>
      </c>
    </row>
    <row r="81" spans="13:13">
      <c r="M81" t="str">
        <f>RIGHT('Plus Agg Analysis'!A81,2)</f>
        <v/>
      </c>
    </row>
    <row r="82" spans="13:13">
      <c r="M82" t="str">
        <f>RIGHT('Plus Agg Analysis'!A82,2)</f>
        <v/>
      </c>
    </row>
    <row r="83" spans="13:13">
      <c r="M83" t="str">
        <f>RIGHT('Plus Agg Analysis'!A83,2)</f>
        <v/>
      </c>
    </row>
    <row r="84" spans="13:13">
      <c r="M84" t="str">
        <f>RIGHT('Plus Agg Analysis'!A84,2)</f>
        <v/>
      </c>
    </row>
    <row r="85" spans="13:13">
      <c r="M85" t="str">
        <f>RIGHT('Plus Agg Analysis'!A85,2)</f>
        <v/>
      </c>
    </row>
    <row r="86" spans="13:13">
      <c r="M86" t="str">
        <f>RIGHT('Plus Agg Analysis'!A86,2)</f>
        <v/>
      </c>
    </row>
    <row r="87" spans="13:13">
      <c r="M87" t="str">
        <f>RIGHT('Plus Agg Analysis'!A87,2)</f>
        <v/>
      </c>
    </row>
    <row r="88" spans="13:13">
      <c r="M88" t="str">
        <f>RIGHT('Plus Agg Analysis'!A88,2)</f>
        <v/>
      </c>
    </row>
    <row r="89" spans="13:13">
      <c r="M89" t="str">
        <f>RIGHT('Plus Agg Analysis'!A89,2)</f>
        <v/>
      </c>
    </row>
    <row r="90" spans="13:13">
      <c r="M90" t="str">
        <f>RIGHT('Plus Agg Analysis'!A90,2)</f>
        <v/>
      </c>
    </row>
    <row r="91" spans="13:13">
      <c r="M91" t="str">
        <f>RIGHT('Plus Agg Analysis'!A91,2)</f>
        <v/>
      </c>
    </row>
    <row r="92" spans="13:13">
      <c r="M92" t="str">
        <f>RIGHT('Plus Agg Analysis'!A92,2)</f>
        <v/>
      </c>
    </row>
    <row r="93" spans="13:13">
      <c r="M93" t="str">
        <f>RIGHT('Plus Agg Analysis'!A93,2)</f>
        <v/>
      </c>
    </row>
    <row r="94" spans="13:13">
      <c r="M94" t="str">
        <f>RIGHT('Plus Agg Analysis'!A94,2)</f>
        <v/>
      </c>
    </row>
    <row r="95" spans="13:13">
      <c r="M95" t="str">
        <f>RIGHT('Plus Agg Analysis'!A95,2)</f>
        <v/>
      </c>
    </row>
    <row r="96" spans="13:13">
      <c r="M96" t="str">
        <f>RIGHT('Plus Agg Analysis'!A96,2)</f>
        <v/>
      </c>
    </row>
    <row r="97" spans="13:13">
      <c r="M97" t="str">
        <f>RIGHT('Plus Agg Analysis'!A97,2)</f>
        <v/>
      </c>
    </row>
    <row r="98" spans="13:13">
      <c r="M98" t="str">
        <f>RIGHT('Plus Agg Analysis'!A98,2)</f>
        <v/>
      </c>
    </row>
    <row r="99" spans="13:13">
      <c r="M99" t="str">
        <f>RIGHT('Plus Agg Analysis'!A99,2)</f>
        <v/>
      </c>
    </row>
    <row r="100" spans="13:13">
      <c r="M100" t="str">
        <f>RIGHT('Plus Agg Analysis'!A100,2)</f>
        <v/>
      </c>
    </row>
  </sheetData>
  <conditionalFormatting sqref="G2">
    <cfRule type="containsText" dxfId="1" priority="1" operator="containsText" text="Delete">
      <formula>NOT(ISERROR(SEARCH("Delete",G2)))</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D18DFB44-6DCD-48EA-9BE5-EB7ADF83EFF4}">
  <ds:schemaRefs/>
</ds:datastoreItem>
</file>

<file path=customXml/itemProps2.xml><?xml version="1.0" encoding="utf-8"?>
<ds:datastoreItem xmlns:ds="http://schemas.openxmlformats.org/officeDocument/2006/customXml" ds:itemID="{755D54D0-B1DF-41F5-943E-C3DBC6E1261F}">
  <ds:schemaRefs/>
</ds:datastoreItem>
</file>

<file path=customXml/itemProps3.xml><?xml version="1.0" encoding="utf-8"?>
<ds:datastoreItem xmlns:ds="http://schemas.openxmlformats.org/officeDocument/2006/customXml" ds:itemID="{E3E16488-F9A8-49A9-9197-BC93B1084799}">
  <ds:schemaRefs/>
</ds:datastoreItem>
</file>

<file path=customXml/itemProps4.xml><?xml version="1.0" encoding="utf-8"?>
<ds:datastoreItem xmlns:ds="http://schemas.openxmlformats.org/officeDocument/2006/customXml" ds:itemID="{C2BE0D4D-3C95-4C1D-AA58-70AC74651847}">
  <ds:schemaRefs/>
</ds:datastoreItem>
</file>

<file path=customXml/itemProps5.xml><?xml version="1.0" encoding="utf-8"?>
<ds:datastoreItem xmlns:ds="http://schemas.openxmlformats.org/officeDocument/2006/customXml" ds:itemID="{E64BAFBE-211D-4B5F-9F01-5F408F05A0CA}">
  <ds:schemaRefs/>
</ds:datastoreItem>
</file>

<file path=customXml/itemProps6.xml><?xml version="1.0" encoding="utf-8"?>
<ds:datastoreItem xmlns:ds="http://schemas.openxmlformats.org/officeDocument/2006/customXml" ds:itemID="{03B693B0-DB8B-4FB0-8C11-F3CA74559838}">
  <ds:schemaRefs/>
</ds:datastoreItem>
</file>

<file path=customXml/itemProps7.xml><?xml version="1.0" encoding="utf-8"?>
<ds:datastoreItem xmlns:ds="http://schemas.openxmlformats.org/officeDocument/2006/customXml" ds:itemID="{EAEE68C8-1C82-4CA8-B6FD-CF683D65E2EB}">
  <ds:schemaRefs/>
</ds:datastoreItem>
</file>

<file path=customXml/itemProps8.xml><?xml version="1.0" encoding="utf-8"?>
<ds:datastoreItem xmlns:ds="http://schemas.openxmlformats.org/officeDocument/2006/customXml" ds:itemID="{37F8245D-23FC-4A30-A4BB-6E197043C964}">
  <ds:schemaRefs/>
</ds:datastoreItem>
</file>

<file path=customXml/itemProps9.xml><?xml version="1.0" encoding="utf-8"?>
<ds:datastoreItem xmlns:ds="http://schemas.openxmlformats.org/officeDocument/2006/customXml" ds:itemID="{3BCD681F-2DD2-4958-9F9A-6C8D4E495EE6}">
  <ds:schemaRefs/>
</ds:datastoreItem>
</file>

<file path=customXml/itemProps10.xml><?xml version="1.0" encoding="utf-8"?>
<ds:datastoreItem xmlns:ds="http://schemas.openxmlformats.org/officeDocument/2006/customXml" ds:itemID="{9569BAE2-49D3-4316-B565-54B571330481}">
  <ds:schemaRefs/>
</ds:datastoreItem>
</file>

<file path=customXml/itemProps11.xml><?xml version="1.0" encoding="utf-8"?>
<ds:datastoreItem xmlns:ds="http://schemas.openxmlformats.org/officeDocument/2006/customXml" ds:itemID="{1653DDF9-41F0-4706-91AC-943FDC157037}">
  <ds:schemaRefs/>
</ds:datastoreItem>
</file>

<file path=customXml/itemProps12.xml><?xml version="1.0" encoding="utf-8"?>
<ds:datastoreItem xmlns:ds="http://schemas.openxmlformats.org/officeDocument/2006/customXml" ds:itemID="{98522526-BEE1-4D67-B4BD-A44DDB4C0CD3}">
  <ds:schemaRefs/>
</ds:datastoreItem>
</file>

<file path=customXml/itemProps13.xml><?xml version="1.0" encoding="utf-8"?>
<ds:datastoreItem xmlns:ds="http://schemas.openxmlformats.org/officeDocument/2006/customXml" ds:itemID="{6A615E21-73D0-4C5E-A263-974B69430C23}">
  <ds:schemaRefs/>
</ds:datastoreItem>
</file>

<file path=customXml/itemProps14.xml><?xml version="1.0" encoding="utf-8"?>
<ds:datastoreItem xmlns:ds="http://schemas.openxmlformats.org/officeDocument/2006/customXml" ds:itemID="{924EAD34-CFB5-4DFE-8691-DE4ADD7D9B13}">
  <ds:schemaRefs/>
</ds:datastoreItem>
</file>

<file path=customXml/itemProps15.xml><?xml version="1.0" encoding="utf-8"?>
<ds:datastoreItem xmlns:ds="http://schemas.openxmlformats.org/officeDocument/2006/customXml" ds:itemID="{83FD64CC-2659-441F-9A68-C192D1F607DB}">
  <ds:schemaRefs/>
</ds:datastoreItem>
</file>

<file path=customXml/itemProps16.xml><?xml version="1.0" encoding="utf-8"?>
<ds:datastoreItem xmlns:ds="http://schemas.openxmlformats.org/officeDocument/2006/customXml" ds:itemID="{B2A3EFCE-14D0-451E-9328-D75BE600B170}">
  <ds:schemaRefs/>
</ds:datastoreItem>
</file>

<file path=customXml/itemProps17.xml><?xml version="1.0" encoding="utf-8"?>
<ds:datastoreItem xmlns:ds="http://schemas.openxmlformats.org/officeDocument/2006/customXml" ds:itemID="{6DD450AE-386B-4725-BC1F-7343E9A8335F}">
  <ds:schemaRefs/>
</ds:datastoreItem>
</file>

<file path=customXml/itemProps18.xml><?xml version="1.0" encoding="utf-8"?>
<ds:datastoreItem xmlns:ds="http://schemas.openxmlformats.org/officeDocument/2006/customXml" ds:itemID="{D6B64E46-306B-4B36-9D9F-3E2F51F95AB0}">
  <ds:schemaRefs/>
</ds:datastoreItem>
</file>

<file path=customXml/itemProps19.xml><?xml version="1.0" encoding="utf-8"?>
<ds:datastoreItem xmlns:ds="http://schemas.openxmlformats.org/officeDocument/2006/customXml" ds:itemID="{310D54FA-474B-4EB3-BD09-45712AE555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29</vt:i4>
      </vt:variant>
    </vt:vector>
  </HeadingPairs>
  <TitlesOfParts>
    <vt:vector size="35" baseType="lpstr">
      <vt:lpstr>Loss Run Summary</vt:lpstr>
      <vt:lpstr>Claim Details</vt:lpstr>
      <vt:lpstr>Loss Summary Analysis</vt:lpstr>
      <vt:lpstr>Loss Summary Analysis w. Agg</vt:lpstr>
      <vt:lpstr>Plus Agg Analysis</vt:lpstr>
      <vt:lpstr>Drop downs</vt:lpstr>
      <vt:lpstr>'Loss Summary Analysis w. Agg'!Claim_Total</vt:lpstr>
      <vt:lpstr>Claim_Total</vt:lpstr>
      <vt:lpstr>'Loss Summary Analysis w. Agg'!CurrentDeductible</vt:lpstr>
      <vt:lpstr>CurrentDeductible</vt:lpstr>
      <vt:lpstr>Fire</vt:lpstr>
      <vt:lpstr>'Loss Summary Analysis w. Agg'!HigherDeductible</vt:lpstr>
      <vt:lpstr>HigherDeductible</vt:lpstr>
      <vt:lpstr>LossClassification</vt:lpstr>
      <vt:lpstr>'Loss Summary Analysis w. Agg'!LowerDeductible</vt:lpstr>
      <vt:lpstr>LowerDeductible</vt:lpstr>
      <vt:lpstr>Negligent_Maintenance</vt:lpstr>
      <vt:lpstr>'Loss Summary Analysis w. Agg'!OtherDeductible</vt:lpstr>
      <vt:lpstr>OtherDeductible</vt:lpstr>
      <vt:lpstr>'Loss Summary Analysis w. Agg'!OwnershipStatus</vt:lpstr>
      <vt:lpstr>OwnershipStatus</vt:lpstr>
      <vt:lpstr>'Loss Summary Analysis w. Agg'!PaidClaim</vt:lpstr>
      <vt:lpstr>PaidClaim</vt:lpstr>
      <vt:lpstr>'Loss Summary Analysis w. Agg'!PolicyYears</vt:lpstr>
      <vt:lpstr>PolicyYears</vt:lpstr>
      <vt:lpstr>'Claim Details'!Print_Area</vt:lpstr>
      <vt:lpstr>'Loss Summary Analysis'!Print_Area</vt:lpstr>
      <vt:lpstr>'Loss Summary Analysis w. Agg'!Print_Area</vt:lpstr>
      <vt:lpstr>'Claim Details'!Print_Titles</vt:lpstr>
      <vt:lpstr>'Loss Summary Analysis w. Agg'!Reserve</vt:lpstr>
      <vt:lpstr>Reserve</vt:lpstr>
      <vt:lpstr>Shooting</vt:lpstr>
      <vt:lpstr>'Loss Summary Analysis w. Agg'!Status</vt:lpstr>
      <vt:lpstr>Status</vt:lpstr>
      <vt:lpstr>Windstorm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dmm</dc:creator>
  <cp:lastModifiedBy>Garet Marr</cp:lastModifiedBy>
  <cp:lastPrinted>2018-08-14T01:00:41Z</cp:lastPrinted>
  <dcterms:created xsi:type="dcterms:W3CDTF">2012-08-08T18:51:35Z</dcterms:created>
  <dcterms:modified xsi:type="dcterms:W3CDTF">2025-07-03T13:12:38Z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720ca6-3740-42b9-9cd8-6e8069f715b5_Enabled">
    <vt:lpwstr>true</vt:lpwstr>
  </property>
  <property fmtid="{D5CDD505-2E9C-101B-9397-08002B2CF9AE}" pid="3" name="MSIP_Label_8b720ca6-3740-42b9-9cd8-6e8069f715b5_SetDate">
    <vt:lpwstr>2023-10-24T16:21:52Z</vt:lpwstr>
  </property>
  <property fmtid="{D5CDD505-2E9C-101B-9397-08002B2CF9AE}" pid="4" name="MSIP_Label_8b720ca6-3740-42b9-9cd8-6e8069f715b5_Method">
    <vt:lpwstr>Standard</vt:lpwstr>
  </property>
  <property fmtid="{D5CDD505-2E9C-101B-9397-08002B2CF9AE}" pid="5" name="MSIP_Label_8b720ca6-3740-42b9-9cd8-6e8069f715b5_Name">
    <vt:lpwstr>defa4170-0d19-0005-0004-bc88714345d2</vt:lpwstr>
  </property>
  <property fmtid="{D5CDD505-2E9C-101B-9397-08002B2CF9AE}" pid="6" name="MSIP_Label_8b720ca6-3740-42b9-9cd8-6e8069f715b5_SiteId">
    <vt:lpwstr>c5af34c5-67f6-4a62-add7-89c13998e331</vt:lpwstr>
  </property>
  <property fmtid="{D5CDD505-2E9C-101B-9397-08002B2CF9AE}" pid="7" name="MSIP_Label_8b720ca6-3740-42b9-9cd8-6e8069f715b5_ActionId">
    <vt:lpwstr>4a629a27-2184-416d-9b16-ade620ce8070</vt:lpwstr>
  </property>
  <property fmtid="{D5CDD505-2E9C-101B-9397-08002B2CF9AE}" pid="8" name="MSIP_Label_8b720ca6-3740-42b9-9cd8-6e8069f715b5_ContentBits">
    <vt:lpwstr>0</vt:lpwstr>
  </property>
</Properties>
</file>